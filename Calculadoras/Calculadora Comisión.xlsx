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46060204\Downloads\Calculadoras\"/>
    </mc:Choice>
  </mc:AlternateContent>
  <xr:revisionPtr revIDLastSave="0" documentId="13_ncr:1_{50F4527D-8589-4155-A087-3E124204E6BE}" xr6:coauthVersionLast="47" xr6:coauthVersionMax="47" xr10:uidLastSave="{00000000-0000-0000-0000-000000000000}"/>
  <bookViews>
    <workbookView xWindow="-120" yWindow="-120" windowWidth="21840" windowHeight="13020" tabRatio="822" activeTab="3" xr2:uid="{892138EC-07D4-42F3-9726-27E68BA067E8}"/>
  </bookViews>
  <sheets>
    <sheet name="E.D" sheetId="5" r:id="rId1"/>
    <sheet name="PTAR" sheetId="4" state="hidden" r:id="rId2"/>
    <sheet name="GENERAL" sheetId="2" r:id="rId3"/>
    <sheet name="01-09" sheetId="1" r:id="rId4"/>
    <sheet name="02-09" sheetId="6" r:id="rId5"/>
    <sheet name="03-09" sheetId="7" r:id="rId6"/>
    <sheet name="04-09" sheetId="8" r:id="rId7"/>
    <sheet name="05-09" sheetId="9" r:id="rId8"/>
    <sheet name="06-09" sheetId="10" r:id="rId9"/>
    <sheet name="08-09" sheetId="11" r:id="rId10"/>
    <sheet name="09-09" sheetId="12" r:id="rId11"/>
    <sheet name="10-09" sheetId="13" r:id="rId12"/>
    <sheet name="11-09" sheetId="14" r:id="rId13"/>
    <sheet name="12-09" sheetId="15" r:id="rId14"/>
    <sheet name="13-09" sheetId="16" r:id="rId15"/>
    <sheet name="15-09" sheetId="17" r:id="rId16"/>
    <sheet name="16-09" sheetId="18" r:id="rId17"/>
    <sheet name="17-09" sheetId="19" r:id="rId18"/>
    <sheet name="18-09" sheetId="20" r:id="rId19"/>
    <sheet name="19-09" sheetId="21" r:id="rId20"/>
    <sheet name="20-09" sheetId="22" r:id="rId21"/>
    <sheet name="22-09" sheetId="24" r:id="rId22"/>
    <sheet name="23-09" sheetId="25" r:id="rId23"/>
    <sheet name="24-09" sheetId="26" r:id="rId24"/>
    <sheet name="25-09" sheetId="27" r:id="rId25"/>
    <sheet name="26-09" sheetId="28" r:id="rId26"/>
    <sheet name="27-09" sheetId="29" r:id="rId27"/>
    <sheet name="29-09" sheetId="30" r:id="rId28"/>
    <sheet name="30-09" sheetId="31" r:id="rId29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6" l="1"/>
  <c r="I11" i="2"/>
  <c r="N18" i="31"/>
  <c r="J18" i="31"/>
  <c r="N18" i="30"/>
  <c r="J18" i="30"/>
  <c r="N18" i="29"/>
  <c r="J18" i="29"/>
  <c r="N18" i="28"/>
  <c r="J18" i="28"/>
  <c r="N18" i="27"/>
  <c r="J18" i="27"/>
  <c r="N18" i="26"/>
  <c r="J18" i="26"/>
  <c r="N18" i="25"/>
  <c r="J18" i="25"/>
  <c r="N18" i="24"/>
  <c r="J18" i="24"/>
  <c r="N18" i="22"/>
  <c r="J18" i="22"/>
  <c r="N18" i="21"/>
  <c r="J18" i="21"/>
  <c r="N18" i="20"/>
  <c r="J18" i="20"/>
  <c r="N18" i="19"/>
  <c r="J18" i="19"/>
  <c r="N18" i="18"/>
  <c r="J18" i="18"/>
  <c r="N18" i="17"/>
  <c r="J18" i="17"/>
  <c r="H11" i="2" s="1"/>
  <c r="N18" i="16"/>
  <c r="J18" i="16"/>
  <c r="N18" i="15"/>
  <c r="J18" i="15"/>
  <c r="N18" i="14"/>
  <c r="J18" i="14"/>
  <c r="N18" i="13"/>
  <c r="J18" i="13"/>
  <c r="G11" i="2" s="1"/>
  <c r="N18" i="12"/>
  <c r="J18" i="12"/>
  <c r="N18" i="11"/>
  <c r="J18" i="11"/>
  <c r="N18" i="10"/>
  <c r="J18" i="10"/>
  <c r="N18" i="9"/>
  <c r="J18" i="9"/>
  <c r="N18" i="8"/>
  <c r="J18" i="8"/>
  <c r="N18" i="7"/>
  <c r="J18" i="7"/>
  <c r="N18" i="6"/>
  <c r="N18" i="1"/>
  <c r="E16" i="5"/>
  <c r="I16" i="5" s="1"/>
  <c r="H16" i="5" l="1"/>
  <c r="F16" i="5" s="1"/>
  <c r="I9" i="5" l="1"/>
  <c r="N9" i="5" s="1"/>
  <c r="J9" i="5"/>
  <c r="O9" i="5" s="1"/>
  <c r="K9" i="5"/>
  <c r="P9" i="5" s="1"/>
  <c r="L9" i="5"/>
  <c r="Q9" i="5" s="1"/>
  <c r="H9" i="5"/>
  <c r="M9" i="5" s="1"/>
  <c r="Q5" i="31"/>
  <c r="P5" i="31"/>
  <c r="O5" i="31"/>
  <c r="N5" i="31"/>
  <c r="M5" i="31"/>
  <c r="L5" i="31"/>
  <c r="K5" i="31"/>
  <c r="K11" i="31" s="1"/>
  <c r="J5" i="31"/>
  <c r="I5" i="31"/>
  <c r="P11" i="31" s="1"/>
  <c r="H5" i="31"/>
  <c r="Q5" i="30"/>
  <c r="P5" i="30"/>
  <c r="O5" i="30"/>
  <c r="N5" i="30"/>
  <c r="M5" i="30"/>
  <c r="L5" i="30"/>
  <c r="K5" i="30"/>
  <c r="K11" i="30" s="1"/>
  <c r="J5" i="30"/>
  <c r="I5" i="30"/>
  <c r="P11" i="30" s="1"/>
  <c r="H5" i="30"/>
  <c r="Q5" i="29"/>
  <c r="P5" i="29"/>
  <c r="O5" i="29"/>
  <c r="N5" i="29"/>
  <c r="M5" i="29"/>
  <c r="L5" i="29"/>
  <c r="K5" i="29"/>
  <c r="K11" i="29" s="1"/>
  <c r="J5" i="29"/>
  <c r="I5" i="29"/>
  <c r="P11" i="29" s="1"/>
  <c r="H5" i="29"/>
  <c r="Q5" i="28"/>
  <c r="P5" i="28"/>
  <c r="O5" i="28"/>
  <c r="N5" i="28"/>
  <c r="M5" i="28"/>
  <c r="L5" i="28"/>
  <c r="K5" i="28"/>
  <c r="K11" i="28" s="1"/>
  <c r="J5" i="28"/>
  <c r="I5" i="28"/>
  <c r="P11" i="28" s="1"/>
  <c r="H5" i="28"/>
  <c r="Q5" i="27"/>
  <c r="P5" i="27"/>
  <c r="O5" i="27"/>
  <c r="N5" i="27"/>
  <c r="M5" i="27"/>
  <c r="L5" i="27"/>
  <c r="K5" i="27"/>
  <c r="K11" i="27" s="1"/>
  <c r="J5" i="27"/>
  <c r="I5" i="27"/>
  <c r="P11" i="27" s="1"/>
  <c r="H5" i="27"/>
  <c r="Q5" i="26"/>
  <c r="P5" i="26"/>
  <c r="O5" i="26"/>
  <c r="N5" i="26"/>
  <c r="M5" i="26"/>
  <c r="L5" i="26"/>
  <c r="K5" i="26"/>
  <c r="K11" i="26" s="1"/>
  <c r="J5" i="26"/>
  <c r="I5" i="26"/>
  <c r="P11" i="26" s="1"/>
  <c r="H5" i="26"/>
  <c r="Q5" i="25"/>
  <c r="P5" i="25"/>
  <c r="O5" i="25"/>
  <c r="N5" i="25"/>
  <c r="M5" i="25"/>
  <c r="L5" i="25"/>
  <c r="K5" i="25"/>
  <c r="K11" i="25" s="1"/>
  <c r="J5" i="25"/>
  <c r="I5" i="25"/>
  <c r="P11" i="25" s="1"/>
  <c r="H5" i="25"/>
  <c r="Q5" i="24"/>
  <c r="P5" i="24"/>
  <c r="O5" i="24"/>
  <c r="N5" i="24"/>
  <c r="M5" i="24"/>
  <c r="L5" i="24"/>
  <c r="K5" i="24"/>
  <c r="K11" i="24" s="1"/>
  <c r="J5" i="24"/>
  <c r="I5" i="24"/>
  <c r="P11" i="24" s="1"/>
  <c r="H5" i="24"/>
  <c r="Q5" i="22"/>
  <c r="P5" i="22"/>
  <c r="O5" i="22"/>
  <c r="N5" i="22"/>
  <c r="M5" i="22"/>
  <c r="L5" i="22"/>
  <c r="K5" i="22"/>
  <c r="K11" i="22" s="1"/>
  <c r="J5" i="22"/>
  <c r="I5" i="22"/>
  <c r="P11" i="22" s="1"/>
  <c r="H5" i="22"/>
  <c r="Q5" i="21"/>
  <c r="P5" i="21"/>
  <c r="O5" i="21"/>
  <c r="N5" i="21"/>
  <c r="M5" i="21"/>
  <c r="L5" i="21"/>
  <c r="K5" i="21"/>
  <c r="K11" i="21" s="1"/>
  <c r="J5" i="21"/>
  <c r="I5" i="21"/>
  <c r="P11" i="21" s="1"/>
  <c r="H5" i="21"/>
  <c r="Q5" i="20"/>
  <c r="P5" i="20"/>
  <c r="O5" i="20"/>
  <c r="N5" i="20"/>
  <c r="M5" i="20"/>
  <c r="L5" i="20"/>
  <c r="K5" i="20"/>
  <c r="K11" i="20" s="1"/>
  <c r="J5" i="20"/>
  <c r="I5" i="20"/>
  <c r="P11" i="20" s="1"/>
  <c r="H5" i="20"/>
  <c r="Q5" i="19"/>
  <c r="P5" i="19"/>
  <c r="O5" i="19"/>
  <c r="N5" i="19"/>
  <c r="M5" i="19"/>
  <c r="L5" i="19"/>
  <c r="K5" i="19"/>
  <c r="K11" i="19" s="1"/>
  <c r="J5" i="19"/>
  <c r="I5" i="19"/>
  <c r="P11" i="19" s="1"/>
  <c r="H5" i="19"/>
  <c r="Q5" i="18"/>
  <c r="P5" i="18"/>
  <c r="O5" i="18"/>
  <c r="N5" i="18"/>
  <c r="M5" i="18"/>
  <c r="L5" i="18"/>
  <c r="K5" i="18"/>
  <c r="K11" i="18" s="1"/>
  <c r="J5" i="18"/>
  <c r="H11" i="18" s="1"/>
  <c r="I5" i="18"/>
  <c r="P11" i="18" s="1"/>
  <c r="H5" i="18"/>
  <c r="Q5" i="17"/>
  <c r="P5" i="17"/>
  <c r="O5" i="17"/>
  <c r="N5" i="17"/>
  <c r="M5" i="17"/>
  <c r="L5" i="17"/>
  <c r="K5" i="17"/>
  <c r="J5" i="17"/>
  <c r="I5" i="17"/>
  <c r="H5" i="17"/>
  <c r="Q5" i="16"/>
  <c r="P5" i="16"/>
  <c r="O5" i="16"/>
  <c r="N5" i="16"/>
  <c r="M5" i="16"/>
  <c r="L5" i="16"/>
  <c r="K5" i="16"/>
  <c r="K11" i="16" s="1"/>
  <c r="J5" i="16"/>
  <c r="I5" i="16"/>
  <c r="H5" i="16"/>
  <c r="Q5" i="15"/>
  <c r="P5" i="15"/>
  <c r="O5" i="15"/>
  <c r="N5" i="15"/>
  <c r="M5" i="15"/>
  <c r="L5" i="15"/>
  <c r="K5" i="15"/>
  <c r="K11" i="15" s="1"/>
  <c r="J5" i="15"/>
  <c r="H11" i="15" s="1"/>
  <c r="I5" i="15"/>
  <c r="P11" i="15" s="1"/>
  <c r="H5" i="15"/>
  <c r="Q5" i="14"/>
  <c r="P5" i="14"/>
  <c r="O5" i="14"/>
  <c r="N5" i="14"/>
  <c r="M5" i="14"/>
  <c r="L5" i="14"/>
  <c r="K5" i="14"/>
  <c r="J5" i="14"/>
  <c r="I5" i="14"/>
  <c r="H5" i="14"/>
  <c r="Q5" i="13"/>
  <c r="P5" i="13"/>
  <c r="O5" i="13"/>
  <c r="N5" i="13"/>
  <c r="M5" i="13"/>
  <c r="L5" i="13"/>
  <c r="K5" i="13"/>
  <c r="J5" i="13"/>
  <c r="I5" i="13"/>
  <c r="P11" i="13" s="1"/>
  <c r="H5" i="13"/>
  <c r="Q5" i="12"/>
  <c r="P5" i="12"/>
  <c r="O5" i="12"/>
  <c r="N5" i="12"/>
  <c r="M5" i="12"/>
  <c r="L5" i="12"/>
  <c r="K5" i="12"/>
  <c r="K11" i="12" s="1"/>
  <c r="J5" i="12"/>
  <c r="I5" i="12"/>
  <c r="H5" i="12"/>
  <c r="Q5" i="11"/>
  <c r="P5" i="11"/>
  <c r="O5" i="11"/>
  <c r="N5" i="11"/>
  <c r="M5" i="11"/>
  <c r="L5" i="11"/>
  <c r="K5" i="11"/>
  <c r="K11" i="11" s="1"/>
  <c r="J5" i="11"/>
  <c r="H11" i="11" s="1"/>
  <c r="I5" i="11"/>
  <c r="P11" i="11" s="1"/>
  <c r="H5" i="11"/>
  <c r="Q5" i="10"/>
  <c r="P5" i="10"/>
  <c r="O5" i="10"/>
  <c r="N5" i="10"/>
  <c r="M5" i="10"/>
  <c r="L5" i="10"/>
  <c r="K5" i="10"/>
  <c r="J5" i="10"/>
  <c r="I5" i="10"/>
  <c r="H5" i="10"/>
  <c r="Q5" i="9"/>
  <c r="P5" i="9"/>
  <c r="O5" i="9"/>
  <c r="N5" i="9"/>
  <c r="M5" i="9"/>
  <c r="L5" i="9"/>
  <c r="K5" i="9"/>
  <c r="K11" i="9" s="1"/>
  <c r="J5" i="9"/>
  <c r="I5" i="9"/>
  <c r="P11" i="9" s="1"/>
  <c r="H5" i="9"/>
  <c r="Q5" i="8"/>
  <c r="P5" i="8"/>
  <c r="O5" i="8"/>
  <c r="N5" i="8"/>
  <c r="M5" i="8"/>
  <c r="L5" i="8"/>
  <c r="K5" i="8"/>
  <c r="K11" i="8" s="1"/>
  <c r="J5" i="8"/>
  <c r="I5" i="8"/>
  <c r="P11" i="8" s="1"/>
  <c r="H5" i="8"/>
  <c r="Q5" i="7"/>
  <c r="P5" i="7"/>
  <c r="O5" i="7"/>
  <c r="N5" i="7"/>
  <c r="M5" i="7"/>
  <c r="L5" i="7"/>
  <c r="K5" i="7"/>
  <c r="J5" i="7"/>
  <c r="I5" i="7"/>
  <c r="H5" i="7"/>
  <c r="Q5" i="6"/>
  <c r="P5" i="6"/>
  <c r="O5" i="6"/>
  <c r="N5" i="6"/>
  <c r="M5" i="6"/>
  <c r="L5" i="6"/>
  <c r="K5" i="6"/>
  <c r="J5" i="6"/>
  <c r="I5" i="6"/>
  <c r="H5" i="6"/>
  <c r="Q5" i="1"/>
  <c r="J5" i="1"/>
  <c r="L5" i="1"/>
  <c r="J18" i="1"/>
  <c r="P5" i="1"/>
  <c r="K5" i="1"/>
  <c r="I5" i="1"/>
  <c r="H5" i="1"/>
  <c r="O5" i="1"/>
  <c r="N5" i="1"/>
  <c r="M5" i="1"/>
  <c r="P11" i="17" l="1"/>
  <c r="K11" i="17"/>
  <c r="P11" i="16"/>
  <c r="K11" i="13"/>
  <c r="K11" i="7"/>
  <c r="J3" i="2"/>
  <c r="E11" i="2"/>
  <c r="F11" i="2"/>
  <c r="K3" i="2"/>
  <c r="I3" i="2"/>
  <c r="F3" i="2"/>
  <c r="G3" i="2"/>
  <c r="H3" i="2"/>
  <c r="B3" i="2"/>
  <c r="P11" i="10"/>
  <c r="C3" i="2"/>
  <c r="H11" i="10"/>
  <c r="D3" i="2"/>
  <c r="K11" i="10"/>
  <c r="E3" i="2"/>
  <c r="K11" i="6"/>
  <c r="K11" i="14"/>
  <c r="P11" i="14"/>
  <c r="P11" i="12"/>
  <c r="P11" i="7"/>
  <c r="R9" i="5"/>
  <c r="P11" i="6"/>
  <c r="H11" i="31"/>
  <c r="N11" i="31" a="1"/>
  <c r="N11" i="31" s="1"/>
  <c r="H11" i="30"/>
  <c r="N11" i="30" a="1"/>
  <c r="N11" i="30" s="1"/>
  <c r="H11" i="29"/>
  <c r="N11" i="29" a="1"/>
  <c r="N11" i="29" s="1"/>
  <c r="H11" i="28"/>
  <c r="N11" i="28" a="1"/>
  <c r="N11" i="28" s="1"/>
  <c r="H11" i="27"/>
  <c r="N11" i="27" a="1"/>
  <c r="N11" i="27" s="1"/>
  <c r="H11" i="26"/>
  <c r="N11" i="26" a="1"/>
  <c r="N11" i="26" s="1"/>
  <c r="H11" i="25"/>
  <c r="N11" i="25" a="1"/>
  <c r="N11" i="25" s="1"/>
  <c r="H11" i="24"/>
  <c r="N11" i="24" a="1"/>
  <c r="N11" i="24" s="1"/>
  <c r="H11" i="22"/>
  <c r="N11" i="22" a="1"/>
  <c r="N11" i="22" s="1"/>
  <c r="H11" i="21"/>
  <c r="N11" i="21" a="1"/>
  <c r="N11" i="21" s="1"/>
  <c r="H11" i="20"/>
  <c r="N11" i="20" a="1"/>
  <c r="N11" i="20" s="1"/>
  <c r="H11" i="19"/>
  <c r="N11" i="19" a="1"/>
  <c r="N11" i="19" s="1"/>
  <c r="N11" i="18" a="1"/>
  <c r="N11" i="18" s="1"/>
  <c r="H11" i="17"/>
  <c r="N11" i="17" a="1"/>
  <c r="N11" i="17" s="1"/>
  <c r="H11" i="16"/>
  <c r="N11" i="16" a="1"/>
  <c r="N11" i="16" s="1"/>
  <c r="N11" i="15" a="1"/>
  <c r="N11" i="15" s="1"/>
  <c r="H11" i="14"/>
  <c r="N11" i="14" a="1"/>
  <c r="N11" i="14" s="1"/>
  <c r="H11" i="13"/>
  <c r="N11" i="13" a="1"/>
  <c r="N11" i="13" s="1"/>
  <c r="H11" i="12"/>
  <c r="N11" i="12" a="1"/>
  <c r="N11" i="12" s="1"/>
  <c r="N11" i="11" a="1"/>
  <c r="N11" i="11" s="1"/>
  <c r="N11" i="10" a="1"/>
  <c r="N11" i="10" s="1"/>
  <c r="H11" i="9"/>
  <c r="N11" i="9" a="1"/>
  <c r="N11" i="9" s="1"/>
  <c r="H11" i="8"/>
  <c r="N11" i="8" a="1"/>
  <c r="N11" i="8" s="1"/>
  <c r="H11" i="7"/>
  <c r="N11" i="7" a="1"/>
  <c r="N11" i="7" s="1"/>
  <c r="H11" i="6"/>
  <c r="N11" i="6" a="1"/>
  <c r="N11" i="6" s="1"/>
  <c r="K11" i="1"/>
  <c r="P11" i="1"/>
  <c r="H11" i="1"/>
  <c r="N11" i="1" a="1"/>
  <c r="N11" i="1" s="1"/>
  <c r="M3" i="2" l="1"/>
  <c r="L3" i="2"/>
  <c r="E7" i="2"/>
  <c r="K2" i="17" s="1"/>
  <c r="H7" i="2" a="1"/>
  <c r="H7" i="2" s="1"/>
  <c r="B7" i="2"/>
  <c r="G2" i="21" s="1"/>
  <c r="K7" i="2" l="1"/>
  <c r="O2" i="1" s="1"/>
  <c r="I25" i="1" s="1"/>
  <c r="K2" i="22"/>
  <c r="G2" i="11"/>
  <c r="G2" i="27"/>
  <c r="G2" i="6"/>
  <c r="G2" i="10"/>
  <c r="G2" i="17"/>
  <c r="G2" i="24"/>
  <c r="G2" i="25"/>
  <c r="G2" i="19"/>
  <c r="K2" i="20"/>
  <c r="K2" i="19"/>
  <c r="K2" i="6"/>
  <c r="K2" i="1"/>
  <c r="K2" i="21"/>
  <c r="K2" i="24"/>
  <c r="K2" i="25"/>
  <c r="K2" i="28"/>
  <c r="K2" i="29"/>
  <c r="K2" i="30"/>
  <c r="K2" i="8"/>
  <c r="K2" i="9"/>
  <c r="G2" i="29"/>
  <c r="K2" i="10"/>
  <c r="K2" i="27"/>
  <c r="K2" i="12"/>
  <c r="K2" i="16"/>
  <c r="K2" i="13"/>
  <c r="K2" i="15"/>
  <c r="K2" i="26"/>
  <c r="K2" i="31"/>
  <c r="K2" i="7"/>
  <c r="K2" i="14"/>
  <c r="K2" i="11"/>
  <c r="K2" i="18"/>
  <c r="G2" i="18"/>
  <c r="G2" i="1"/>
  <c r="G2" i="26"/>
  <c r="G2" i="8"/>
  <c r="G2" i="30"/>
  <c r="G2" i="12"/>
  <c r="G2" i="28"/>
  <c r="G2" i="31"/>
  <c r="G2" i="9"/>
  <c r="G2" i="16"/>
  <c r="G2" i="7"/>
  <c r="G2" i="14"/>
  <c r="G2" i="13"/>
  <c r="G2" i="20"/>
  <c r="G2" i="15"/>
  <c r="G2" i="22"/>
  <c r="O2" i="29" l="1"/>
  <c r="I25" i="29" s="1"/>
  <c r="O2" i="15"/>
  <c r="I25" i="15" s="1"/>
  <c r="O2" i="31"/>
  <c r="I25" i="31" s="1"/>
  <c r="O2" i="26"/>
  <c r="I25" i="26" s="1"/>
  <c r="O2" i="16"/>
  <c r="I25" i="16" s="1"/>
  <c r="O2" i="21"/>
  <c r="I25" i="21" s="1"/>
  <c r="O2" i="7"/>
  <c r="I25" i="7" s="1"/>
  <c r="O2" i="11"/>
  <c r="I25" i="11" s="1"/>
  <c r="O2" i="9"/>
  <c r="I25" i="9" s="1"/>
  <c r="O2" i="30"/>
  <c r="I25" i="30" s="1"/>
  <c r="O2" i="24"/>
  <c r="I25" i="24" s="1"/>
  <c r="O2" i="6"/>
  <c r="I25" i="6" s="1"/>
  <c r="O2" i="13"/>
  <c r="I25" i="13" s="1"/>
  <c r="O2" i="20"/>
  <c r="I25" i="20" s="1"/>
  <c r="O2" i="25"/>
  <c r="I25" i="25" s="1"/>
  <c r="O2" i="28"/>
  <c r="I25" i="28" s="1"/>
  <c r="O2" i="10"/>
  <c r="I25" i="10" s="1"/>
  <c r="O2" i="17"/>
  <c r="I25" i="17" s="1"/>
  <c r="O2" i="14"/>
  <c r="I25" i="14" s="1"/>
  <c r="O2" i="19"/>
  <c r="I25" i="19" s="1"/>
  <c r="O2" i="8"/>
  <c r="I25" i="8" s="1"/>
  <c r="O2" i="18"/>
  <c r="I25" i="18" s="1"/>
  <c r="O2" i="12"/>
  <c r="I25" i="12" s="1"/>
  <c r="O2" i="27"/>
  <c r="I25" i="27" s="1"/>
  <c r="O2" i="22"/>
  <c r="I25" i="22" s="1"/>
  <c r="E14" i="2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<sst xmlns="http://schemas.openxmlformats.org/spreadsheetml/2006/main" count="1445" uniqueCount="307">
  <si>
    <t>MENÚ PRINCIPAL</t>
  </si>
  <si>
    <t>RETENCIÓN</t>
  </si>
  <si>
    <t>EFECTIVIDAD HOGAR</t>
  </si>
  <si>
    <t>EFECTIVIDAD MOVIL</t>
  </si>
  <si>
    <t>EFECTIVIDAD MENSUAL</t>
  </si>
  <si>
    <t>OBSERVACIÓN</t>
  </si>
  <si>
    <t>GESTIÓN</t>
  </si>
  <si>
    <t>SERVICIOS</t>
  </si>
  <si>
    <t>LLAMADAS</t>
  </si>
  <si>
    <t>RETENIDOS HOGAR</t>
  </si>
  <si>
    <t>CAN              HOGAR</t>
  </si>
  <si>
    <t>RETENIDOS MOVIL</t>
  </si>
  <si>
    <t>CAN                 MOVIL</t>
  </si>
  <si>
    <t>INF_NIA</t>
  </si>
  <si>
    <t>IDENTIDA</t>
  </si>
  <si>
    <t>GES_NCC</t>
  </si>
  <si>
    <t>MAL TRANSFER</t>
  </si>
  <si>
    <t>LLAMADA CAIDA</t>
  </si>
  <si>
    <t>TOTAL RETENIDOS</t>
  </si>
  <si>
    <t>LISTA</t>
  </si>
  <si>
    <t>RETENIDO HOGAR</t>
  </si>
  <si>
    <t>RETENIDO MOVIL</t>
  </si>
  <si>
    <t>EFECTIVIDAD DIA HOGAR</t>
  </si>
  <si>
    <t>EFECTIVIDAD DIA MOVIL</t>
  </si>
  <si>
    <t>%MARCACIONES</t>
  </si>
  <si>
    <t>EFECTIVIDAD DIA GENERAL</t>
  </si>
  <si>
    <t>MAL TRANSFERIDA</t>
  </si>
  <si>
    <t>COMISIÓN DEL DÍA</t>
  </si>
  <si>
    <t>SERVICIOS RETENIDOS</t>
  </si>
  <si>
    <t>RETE</t>
  </si>
  <si>
    <t>EFEC</t>
  </si>
  <si>
    <t>CANCELADO HOGAR</t>
  </si>
  <si>
    <t>CANCELADO MOVIL</t>
  </si>
  <si>
    <t>SERVICIOS
RETENIDOS</t>
  </si>
  <si>
    <t>CANCELADOS HOGAR</t>
  </si>
  <si>
    <t>CANCELADOS MOVIL</t>
  </si>
  <si>
    <t>MAL TRANSFERIDAS</t>
  </si>
  <si>
    <t>TOTAL CANCELADOS</t>
  </si>
  <si>
    <t>EFECTIVIDAD EN INTENCIONES HOGAR</t>
  </si>
  <si>
    <t>EFECTIVIDAD EN INTENCIONES MOVIL</t>
  </si>
  <si>
    <t>% COLOCACIONES</t>
  </si>
  <si>
    <t>MODELO DE COMISIÓN</t>
  </si>
  <si>
    <t xml:space="preserve"> </t>
  </si>
  <si>
    <t xml:space="preserve"> ¡¡¡ IMPORTANTE  !!!</t>
  </si>
  <si>
    <t>TODAS LAS CUENTAS DEBEN ESTAR TIPIFICADAS EN SOUL Y DIME DE LO CONTRARIO NO SE PAGARÁN LOS RETENIDOS</t>
  </si>
  <si>
    <t>SE PENALIZARÁ EL 10%  DE SU COMISIÓN FINAL SI CALIDAD NO ESTÁ POR ENCIMA DEL 70%</t>
  </si>
  <si>
    <t>SE PENALIZARÁ EL 20%  DE SU COMISIÓN FINAL SI NO CUMPLE CON LA META DEL NPS</t>
  </si>
  <si>
    <t>SI LA COLOCACIÓN FINAL ESTÁ POR DEBAJO DEL 90% LAS LLAMADAS FALTANTES SE SUMARÁN A LOS NO RETENIDOS</t>
  </si>
  <si>
    <t>SEMANA 1</t>
  </si>
  <si>
    <t>SEMANA 2</t>
  </si>
  <si>
    <t>SEMANA 3</t>
  </si>
  <si>
    <t>SEMANA 4</t>
  </si>
  <si>
    <t>SI FALTA ALGÚN DÍA DEBE HACER MÍNIMO 102 SERVICIOS RETENIDOS EN LA SEMANA PARA QUE SE PAGUEN LOS RETENIDOS</t>
  </si>
  <si>
    <t>COMISIÓN PARCIAL</t>
  </si>
  <si>
    <t>SI NO ALCANZA LA META DIARIA DE RETENIDOS PERO SI LA META SEMANAL QUE SON MÍNIMO 102 SE LE PAGAN TODOS LOS RETENIDOS DE LA SEMANA</t>
  </si>
  <si>
    <t>EFECTIVIDAD MENSUAL GENERAL</t>
  </si>
  <si>
    <t>PTAR</t>
  </si>
  <si>
    <t>NÚMERO/
CUENTA</t>
  </si>
  <si>
    <t>META</t>
  </si>
  <si>
    <t>Nombre</t>
  </si>
  <si>
    <t>Efectividad Fija</t>
  </si>
  <si>
    <t>Efectividad Movil</t>
  </si>
  <si>
    <t>Peso efec Fija</t>
  </si>
  <si>
    <t>Peso efec movil</t>
  </si>
  <si>
    <t>Peso NPS</t>
  </si>
  <si>
    <t>Total Peso</t>
  </si>
  <si>
    <t>Cum. Efec. Hogar</t>
  </si>
  <si>
    <t>Cum. Efec. Movil</t>
  </si>
  <si>
    <t>Cum. Retenidos</t>
  </si>
  <si>
    <t>Cum. NPS</t>
  </si>
  <si>
    <t>Colocaciones</t>
  </si>
  <si>
    <t>NPS</t>
  </si>
  <si>
    <t>Ratio Llamadas</t>
  </si>
  <si>
    <t>Cum. Ratio</t>
  </si>
  <si>
    <t>PESO</t>
  </si>
  <si>
    <t>Peso colocaciones</t>
  </si>
  <si>
    <t>Peso Ratio Llamadas</t>
  </si>
  <si>
    <r>
      <rPr>
        <b/>
        <sz val="11"/>
        <color theme="1"/>
        <rFont val="Aptos Narrow"/>
        <family val="2"/>
        <scheme val="minor"/>
      </rPr>
      <t>OBSERVACIONES:</t>
    </r>
    <r>
      <rPr>
        <sz val="11"/>
        <color theme="1"/>
        <rFont val="Aptos Narrow"/>
        <family val="2"/>
        <scheme val="minor"/>
      </rPr>
      <t xml:space="preserve">
• El seguimiento de los indicadores es un compromiso del grupo de trabajo, Colaboradores_x0002_Supervisores-Jefatura, motivo por el cual se trabajará con un modelo de Feedback que busca 
potencializar las habilidades de los colaboradores y el cumplimiento de los indicadores con el incentivo 
de las comisiones, como parte del proceso de seguimiento aceptamos las normatividades para el 
cumplimiento de estos:
• La Evaluación de desempeño es un proceso de seguimiento y Feedback la calificación inferior al 95% 
debe ser asegurada con un recordatorio de funciones con el compromiso del colaborador, la 
reincidencia en 3 evaluaciones se remite al área de jurídica para realizar el proceso correspondiente.
• Los colaboradores son conscientes del tiempo reglamentario de las jornadas de trabajo y reconocen 
que los auxiliares no autorizados o excesos de estos al igual que retardos e inasistencias perjudican 
la labor contratada no permiten el cumplimiento de los indicadores y las comisiones.</t>
    </r>
  </si>
  <si>
    <t>PROMOTORES</t>
  </si>
  <si>
    <t>DETRACTORES</t>
  </si>
  <si>
    <t>NEUTROS</t>
  </si>
  <si>
    <t>ENCUESTAS</t>
  </si>
  <si>
    <t>%NPS</t>
  </si>
  <si>
    <t>CALCULADORA EVALUACIÓN DE DESEMPEÑO</t>
  </si>
  <si>
    <t>CALCULADORA NPS</t>
  </si>
  <si>
    <t>%PROMOTORES</t>
  </si>
  <si>
    <t>%DETRACTORES</t>
  </si>
  <si>
    <t>TARIFAS TRIPLES CLARO</t>
  </si>
  <si>
    <t>ESTRATO 1</t>
  </si>
  <si>
    <t>COD_TAR_RE</t>
  </si>
  <si>
    <t>Triple Digital Superior 500 MB (1) (5) (6) (7)</t>
  </si>
  <si>
    <t>CDP1</t>
  </si>
  <si>
    <t>N/A</t>
  </si>
  <si>
    <t>Triple Digital Superior 500 MB (2) (5) (6) (7)</t>
  </si>
  <si>
    <t>CDR1</t>
  </si>
  <si>
    <t>Triple Digital Superior 500 MB (3) (5) (6) (7)</t>
  </si>
  <si>
    <t>CDW1</t>
  </si>
  <si>
    <t>Triple Digital Superior 500 MB (4) (5) (6) (7)</t>
  </si>
  <si>
    <t>CDT1</t>
  </si>
  <si>
    <t>Triple Digital Avanzada 500 MB (1) (5) (6) (7)</t>
  </si>
  <si>
    <t>CDE1</t>
  </si>
  <si>
    <t>Triple Digital Avanzada 500 MB (2) (5) (6) (7)</t>
  </si>
  <si>
    <t>CDF1</t>
  </si>
  <si>
    <t>Triple Digital Avanzada 500 MB (3) (5) (6) (7)</t>
  </si>
  <si>
    <t>CDN1</t>
  </si>
  <si>
    <t>Triple Digital Avanzada 500 MB (4) (5) (6) (7)</t>
  </si>
  <si>
    <t>CDJ1</t>
  </si>
  <si>
    <t>Triple Box TV Digital Intermedio Plus 600 MB (1) (2) (7) (8) +UW</t>
  </si>
  <si>
    <t>U031</t>
  </si>
  <si>
    <t>Triple Box TV Digital Intermedio Plus 600 MB (1) (3) (7) (8) +UW</t>
  </si>
  <si>
    <t>U041</t>
  </si>
  <si>
    <t>Triple Box TV Digital Intermedio Plus 600 MB (3) (4) (7) (8) +UW</t>
  </si>
  <si>
    <t>U051</t>
  </si>
  <si>
    <t>Triple Claro TV+ Intermedio Plus 500 MB (1) (2) (5) (6)</t>
  </si>
  <si>
    <t>BZZ1</t>
  </si>
  <si>
    <t>Triple Claro TV+ Intermedio Plus 500 MB (1) (3) (5) (6)</t>
  </si>
  <si>
    <t>CBG1</t>
  </si>
  <si>
    <t>Triple Claro TV+ Intermedio Plus 500 MB (3) (4) (5) (6)</t>
  </si>
  <si>
    <t>CBI1</t>
  </si>
  <si>
    <t>Triple Digital Intermedio Plus 500 MB (1) (5) (7)</t>
  </si>
  <si>
    <t>CBQ1</t>
  </si>
  <si>
    <t>Triple Digital Intermedio Plus 500 MB (2) (5) (7)</t>
  </si>
  <si>
    <t>CBU1</t>
  </si>
  <si>
    <t>Triple Digital Intermedio Plus 500 MB (3) (5) (7)</t>
  </si>
  <si>
    <t>CBZ1</t>
  </si>
  <si>
    <t>Triple Digital Intermedio Plus 500 MB (4) (5) (7)</t>
  </si>
  <si>
    <t>CBS1</t>
  </si>
  <si>
    <t>Triple Digital Intermedio Plus 500 MB (1) (6) (7)</t>
  </si>
  <si>
    <t>CBP1</t>
  </si>
  <si>
    <t>Triple Digital Intermedio Plus 500 MB (1) (7)</t>
  </si>
  <si>
    <t>CBO1</t>
  </si>
  <si>
    <t>Triple Digital Intermedio Plus 500 MB (2) (7)</t>
  </si>
  <si>
    <t>CBT1</t>
  </si>
  <si>
    <t>Triple Digital Intermedio Plus 500 MB (3) (7)</t>
  </si>
  <si>
    <t>CBW1</t>
  </si>
  <si>
    <t>Triple Digital Intermedio Plus 500 MB (4) (7)</t>
  </si>
  <si>
    <t>CBR1</t>
  </si>
  <si>
    <t>Triple Digital Intermedio Plus 500 MB (5) (7)</t>
  </si>
  <si>
    <t>CBN1</t>
  </si>
  <si>
    <t>CA61</t>
  </si>
  <si>
    <t>TARIFA DOBLE CLARO</t>
  </si>
  <si>
    <t>Internet 500 MB + Voz</t>
  </si>
  <si>
    <t>TARIFAS SENCILLOS </t>
  </si>
  <si>
    <t>ESTRATO 1 </t>
  </si>
  <si>
    <t>COD_TAR_RE </t>
  </si>
  <si>
    <t>Tv Digital Superior </t>
  </si>
  <si>
    <t>$ 85.900 </t>
  </si>
  <si>
    <t>KSF1 </t>
  </si>
  <si>
    <t>Tv Digital Avanzada </t>
  </si>
  <si>
    <t>$ 73.900 </t>
  </si>
  <si>
    <t>KSG1 </t>
  </si>
  <si>
    <t>Tv Digital Intermedio Plus </t>
  </si>
  <si>
    <t>$ 63.900 </t>
  </si>
  <si>
    <t>K051 </t>
  </si>
  <si>
    <t>Internet 500 MB </t>
  </si>
  <si>
    <t>$ 74.900 </t>
  </si>
  <si>
    <t>CCT1 </t>
  </si>
  <si>
    <t>Telefonía </t>
  </si>
  <si>
    <t>$ 52.900 </t>
  </si>
  <si>
    <t>BMM1 </t>
  </si>
  <si>
    <t>Triple Digital Superior 900 MB (1) (5) (6) (7)</t>
  </si>
  <si>
    <t>CED1</t>
  </si>
  <si>
    <t>Triple Digital Superior 900 MB (2) (5) (6) (7)</t>
  </si>
  <si>
    <t>CEE1</t>
  </si>
  <si>
    <t>Triple Digital Superior 900 MB (3) (5) (6) (7)</t>
  </si>
  <si>
    <t>CEG1</t>
  </si>
  <si>
    <t>Triple Digital Superior 900 MB (4) (5) (6) (7)</t>
  </si>
  <si>
    <t>CEF1</t>
  </si>
  <si>
    <t>Triple Digital Avanzada 900 MB (1) (5) (6) (7)</t>
  </si>
  <si>
    <t>CDY1</t>
  </si>
  <si>
    <t>Triple Digital Avanzada 900 MB (2) (5) (6) (7)</t>
  </si>
  <si>
    <t>CDZ1</t>
  </si>
  <si>
    <t>Triple Digital Avanzada 900 MB (3) (5) (6) (7)</t>
  </si>
  <si>
    <t>CEC1</t>
  </si>
  <si>
    <t>Triple Digital Avanzada 900 MB (4) (5) (6) (7)</t>
  </si>
  <si>
    <t>CEB1</t>
  </si>
  <si>
    <t>Triple Box TV Digital Intermedio Plus 900 MB (1) (2) (7) (8)</t>
  </si>
  <si>
    <t>U001</t>
  </si>
  <si>
    <t>Triple Box TV Digital Intermedio Plus 900 MB (1) (3) (7) (8)</t>
  </si>
  <si>
    <t>U011</t>
  </si>
  <si>
    <t>Triple Box TV Digital Intermedio Plus 900 MB (3) (4) (7) (8)</t>
  </si>
  <si>
    <t>U021</t>
  </si>
  <si>
    <t>Triple Claro TV+ Intermedio Plus 900 MB (1) (2) (5) (6)</t>
  </si>
  <si>
    <t>BYU1</t>
  </si>
  <si>
    <t>Triple Claro TV+ Intermedio Plus 900 MB (1) (3) (5) (6)</t>
  </si>
  <si>
    <t>BYV1</t>
  </si>
  <si>
    <t>Triple Claro TV+ Intermedio Plus 900 MB (3) (4) (5) (6)</t>
  </si>
  <si>
    <t>BYW1</t>
  </si>
  <si>
    <t>Triple Digital Intermedio Plus 900 MB (1) (5) (7)</t>
  </si>
  <si>
    <t>BZG1</t>
  </si>
  <si>
    <t>Triple Digital Intermedio Plus 900 MB (2) (5) (7)</t>
  </si>
  <si>
    <t>BZL1</t>
  </si>
  <si>
    <t>Triple Digital Intermedio Plus 900 MB (3) (5) (7)</t>
  </si>
  <si>
    <t>BZP1</t>
  </si>
  <si>
    <t>Triple Digital Intermedio Plus 900 MB (4) (5) (7)</t>
  </si>
  <si>
    <t>BZJ1</t>
  </si>
  <si>
    <t>Triple Digital Intermedio Plus 900 MB (1) (6) (7)</t>
  </si>
  <si>
    <t>BZF1</t>
  </si>
  <si>
    <t>Triple Digital Intermedio Plus 900 MB (1) (7)</t>
  </si>
  <si>
    <t>BZE1</t>
  </si>
  <si>
    <t>Triple Digital Intermedio Plus 900 MB (2) (7)</t>
  </si>
  <si>
    <t>BZK1</t>
  </si>
  <si>
    <t>Triple Digital Intermedio Plus 900 MB (3) (7)</t>
  </si>
  <si>
    <t>BZO1</t>
  </si>
  <si>
    <t>Triple Digital Intermedio Plus 900 MB (4) (7)</t>
  </si>
  <si>
    <t>BZH1</t>
  </si>
  <si>
    <t>Triple Digital Intermedio Plus 900 MB (5) (7)</t>
  </si>
  <si>
    <t>BZD1</t>
  </si>
  <si>
    <t>Triple Claro TV+ Básico 900 MB</t>
  </si>
  <si>
    <t>CA71</t>
  </si>
  <si>
    <t>Internet 900 MB</t>
  </si>
  <si>
    <t>BZY1</t>
  </si>
  <si>
    <t>Telefonía</t>
  </si>
  <si>
    <t>WNG1</t>
  </si>
  <si>
    <t>RECUERDE CAMBIAR EL NÚMERO FINAL DEL CÓDIGO SEGÚN EL ESTRATO DEL CLIENTE</t>
  </si>
  <si>
    <t>CODIGO</t>
  </si>
  <si>
    <t>No Todo Claro</t>
  </si>
  <si>
    <t>TV SATELITAL</t>
  </si>
  <si>
    <t>TV SATELITAL AVANZADA</t>
  </si>
  <si>
    <t>TV SATELITAL SUPERIOR</t>
  </si>
  <si>
    <t>NACIONAL</t>
  </si>
  <si>
    <t>Leticia</t>
  </si>
  <si>
    <t>Puerto Carreño, Quibdó, Inirida y Mitú</t>
  </si>
  <si>
    <t>Estrato</t>
  </si>
  <si>
    <t>Codigo</t>
  </si>
  <si>
    <t>valor</t>
  </si>
  <si>
    <t>LKO1</t>
  </si>
  <si>
    <t>LKR1</t>
  </si>
  <si>
    <t>LKQ1</t>
  </si>
  <si>
    <t>LKM1</t>
  </si>
  <si>
    <t>LKN1</t>
  </si>
  <si>
    <t>LKK1</t>
  </si>
  <si>
    <t>LKL1</t>
  </si>
  <si>
    <t>LKO2</t>
  </si>
  <si>
    <t>LKR2</t>
  </si>
  <si>
    <t>LKQ2</t>
  </si>
  <si>
    <t>LKM2</t>
  </si>
  <si>
    <t>LKN2</t>
  </si>
  <si>
    <t>LKK2</t>
  </si>
  <si>
    <t>LKL2</t>
  </si>
  <si>
    <t>LKO3</t>
  </si>
  <si>
    <t>LKR3</t>
  </si>
  <si>
    <t>LKQ3</t>
  </si>
  <si>
    <t>LKM3</t>
  </si>
  <si>
    <t>LKN3</t>
  </si>
  <si>
    <t>LKK3</t>
  </si>
  <si>
    <t>LKL3</t>
  </si>
  <si>
    <t>LKO4</t>
  </si>
  <si>
    <t>LKR4</t>
  </si>
  <si>
    <t>LKQ4</t>
  </si>
  <si>
    <t>LKM4</t>
  </si>
  <si>
    <t>LKN4</t>
  </si>
  <si>
    <t>LKK4</t>
  </si>
  <si>
    <t>LKL4</t>
  </si>
  <si>
    <t>LKO5</t>
  </si>
  <si>
    <t>LKR5</t>
  </si>
  <si>
    <t>LKQ5</t>
  </si>
  <si>
    <t>LKM5</t>
  </si>
  <si>
    <t>LKN5</t>
  </si>
  <si>
    <t>LKK5</t>
  </si>
  <si>
    <t>LKL5</t>
  </si>
  <si>
    <t>LKO6</t>
  </si>
  <si>
    <t>LKR6</t>
  </si>
  <si>
    <t>LKQ6</t>
  </si>
  <si>
    <t>LKM6</t>
  </si>
  <si>
    <t>LKN6</t>
  </si>
  <si>
    <t>LKK6</t>
  </si>
  <si>
    <t>LKL6</t>
  </si>
  <si>
    <t>Todo claro</t>
  </si>
  <si>
    <t>TV SATELITAL AVANZADO</t>
  </si>
  <si>
    <t>LK31</t>
  </si>
  <si>
    <t>LK41</t>
  </si>
  <si>
    <t>LK51</t>
  </si>
  <si>
    <t>LK11</t>
  </si>
  <si>
    <t>LK21</t>
  </si>
  <si>
    <t>LK32</t>
  </si>
  <si>
    <t>LK42</t>
  </si>
  <si>
    <t>LK52</t>
  </si>
  <si>
    <t>LK12</t>
  </si>
  <si>
    <t>LK22</t>
  </si>
  <si>
    <t>LK33</t>
  </si>
  <si>
    <t>LK43</t>
  </si>
  <si>
    <t>LK53</t>
  </si>
  <si>
    <t>LK13</t>
  </si>
  <si>
    <t>LK23</t>
  </si>
  <si>
    <t>LK34</t>
  </si>
  <si>
    <t>LK44</t>
  </si>
  <si>
    <t>LK54</t>
  </si>
  <si>
    <t>LK14</t>
  </si>
  <si>
    <t>LK24</t>
  </si>
  <si>
    <t>LK35</t>
  </si>
  <si>
    <t>LK45</t>
  </si>
  <si>
    <t>LK55</t>
  </si>
  <si>
    <t>LK15</t>
  </si>
  <si>
    <t>LK25</t>
  </si>
  <si>
    <t>LK36</t>
  </si>
  <si>
    <t>LK46</t>
  </si>
  <si>
    <t>LK56</t>
  </si>
  <si>
    <t>LK16</t>
  </si>
  <si>
    <t>LK26</t>
  </si>
  <si>
    <t>Internet 900 MB + Voz</t>
  </si>
  <si>
    <t xml:space="preserve">SERVICIOS RETENIDOS MES </t>
  </si>
  <si>
    <t>RETENIDOS 
MOVIL</t>
  </si>
  <si>
    <t>Triple Claro TV+ Básica 500 MB</t>
  </si>
  <si>
    <t>A</t>
  </si>
  <si>
    <t>SERVICIOS
CANCELADOS</t>
  </si>
  <si>
    <t>Radicado soul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</si>
</sst>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&quot;$&quot;\ #,##0"/>
    <numFmt numFmtId="165" formatCode="&quot;$&quot;#,##0"/>
    <numFmt numFmtId="166" formatCode="&quot;$&quot;\ #,##0.00"/>
    <numFmt numFmtId="167" formatCode="#,##0.00\ %;\-#,##0.00\ %;#,##0.00\ %"/>
    <numFmt numFmtId="168" formatCode="_(&quot;$&quot;* #,##0_);_(&quot;$&quot;* \(#,##0\);_(&quot;$&quot;* &quot;-&quot;??_);_(@_)"/>
    <numFmt numFmtId="169" formatCode="&quot;$&quot;#,##0_);[Red]\(&quot;$&quot;#,##0\)"/>
  </numFmts>
  <fonts count="3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6"/>
      <color theme="1" tint="4.9989318521683403E-2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0"/>
      <color theme="1" tint="4.9989318521683403E-2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sz val="44"/>
      <color theme="1"/>
      <name val="Aptos Narrow"/>
      <family val="2"/>
      <scheme val="minor"/>
    </font>
    <font>
      <b/>
      <sz val="11"/>
      <name val="Aptos Narrow"/>
      <family val="2"/>
    </font>
    <font>
      <sz val="12"/>
      <color theme="0"/>
      <name val="Aptos Narrow"/>
      <family val="2"/>
      <scheme val="minor"/>
    </font>
    <font>
      <b/>
      <sz val="9"/>
      <name val="AMX"/>
      <charset val="134"/>
    </font>
    <font>
      <sz val="9"/>
      <name val="AMX"/>
      <charset val="134"/>
    </font>
    <font>
      <b/>
      <sz val="14"/>
      <color rgb="FF212529"/>
      <name val="AMX"/>
      <charset val="134"/>
    </font>
    <font>
      <b/>
      <sz val="12"/>
      <color theme="0"/>
      <name val="Aptos Narrow"/>
      <family val="2"/>
      <scheme val="minor"/>
    </font>
    <font>
      <sz val="9"/>
      <color rgb="FF212529"/>
      <name val="AMX"/>
      <charset val="134"/>
    </font>
    <font>
      <b/>
      <sz val="16"/>
      <color rgb="FF212529"/>
      <name val="AMX"/>
      <charset val="134"/>
    </font>
  </fonts>
  <fills count="2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gradientFill degree="270">
        <stop position="0">
          <color theme="6" tint="-0.25098422193060094"/>
        </stop>
        <stop position="1">
          <color rgb="FF009900"/>
        </stop>
      </gradientFill>
    </fill>
    <fill>
      <patternFill patternType="solid">
        <fgColor rgb="FF020202"/>
        <bgColor indexed="64"/>
      </patternFill>
    </fill>
    <fill>
      <gradientFill degree="90">
        <stop position="0">
          <color rgb="FFC00000"/>
        </stop>
        <stop position="1">
          <color rgb="FFFF0000"/>
        </stop>
      </gradientFill>
    </fill>
    <fill>
      <patternFill patternType="solid">
        <fgColor theme="2" tint="-0.89999084444715716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theme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 style="medium">
        <color theme="1" tint="0.249977111117893"/>
      </left>
      <right style="medium">
        <color indexed="64"/>
      </right>
      <top style="medium">
        <color theme="1" tint="0.249977111117893"/>
      </top>
      <bottom style="medium">
        <color theme="1" tint="0.249977111117893"/>
      </bottom>
      <diagonal/>
    </border>
    <border>
      <left style="medium">
        <color theme="1" tint="0.249977111117893"/>
      </left>
      <right/>
      <top style="medium">
        <color theme="1" tint="0.249977111117893"/>
      </top>
      <bottom/>
      <diagonal/>
    </border>
    <border>
      <left/>
      <right/>
      <top style="medium">
        <color theme="1" tint="0.249977111117893"/>
      </top>
      <bottom/>
      <diagonal/>
    </border>
    <border>
      <left style="medium">
        <color theme="1" tint="0.249977111117893"/>
      </left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249977111117893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theme="1" tint="0.249977111117893"/>
      </left>
      <right/>
      <top style="medium">
        <color theme="1" tint="0.249977111117893"/>
      </top>
      <bottom style="medium">
        <color theme="1" tint="0.249977111117893"/>
      </bottom>
      <diagonal/>
    </border>
    <border>
      <left/>
      <right style="medium">
        <color theme="1" tint="0.249977111117893"/>
      </right>
      <top style="medium">
        <color theme="1" tint="0.249977111117893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 tint="0.249977111117893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 style="medium">
        <color theme="1" tint="0.249977111117893"/>
      </top>
      <bottom style="medium">
        <color theme="1" tint="0.249977111117893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 tint="0.249977111117893"/>
      </right>
      <top/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theme="1" tint="0.249977111117893"/>
      </left>
      <right/>
      <top/>
      <bottom style="medium">
        <color theme="1"/>
      </bottom>
      <diagonal/>
    </border>
    <border>
      <left/>
      <right style="medium">
        <color theme="1" tint="0.249977111117893"/>
      </right>
      <top/>
      <bottom style="medium">
        <color theme="1"/>
      </bottom>
      <diagonal/>
    </border>
    <border>
      <left style="thick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15">
    <xf numFmtId="0" fontId="0" fillId="0" borderId="0" xfId="0"/>
    <xf numFmtId="0" fontId="0" fillId="3" borderId="0" xfId="0" applyFill="1"/>
    <xf numFmtId="10" fontId="10" fillId="6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9" fontId="0" fillId="0" borderId="0" xfId="0" applyNumberFormat="1"/>
    <xf numFmtId="0" fontId="4" fillId="8" borderId="3" xfId="0" applyFont="1" applyFill="1" applyBorder="1"/>
    <xf numFmtId="0" fontId="4" fillId="6" borderId="4" xfId="0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/>
    </xf>
    <xf numFmtId="0" fontId="13" fillId="0" borderId="4" xfId="0" applyFont="1" applyBorder="1"/>
    <xf numFmtId="0" fontId="4" fillId="0" borderId="3" xfId="0" applyFont="1" applyBorder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1" fontId="4" fillId="0" borderId="4" xfId="1" applyNumberFormat="1" applyFont="1" applyFill="1" applyBorder="1" applyAlignment="1">
      <alignment horizontal="center"/>
    </xf>
    <xf numFmtId="0" fontId="13" fillId="0" borderId="8" xfId="0" applyFont="1" applyBorder="1"/>
    <xf numFmtId="0" fontId="4" fillId="3" borderId="4" xfId="0" applyFont="1" applyFill="1" applyBorder="1"/>
    <xf numFmtId="165" fontId="8" fillId="3" borderId="0" xfId="1" applyNumberFormat="1" applyFont="1" applyFill="1" applyBorder="1" applyAlignment="1">
      <alignment vertical="center"/>
    </xf>
    <xf numFmtId="0" fontId="15" fillId="3" borderId="0" xfId="0" applyFont="1" applyFill="1" applyAlignment="1">
      <alignment vertical="center" wrapText="1"/>
    </xf>
    <xf numFmtId="166" fontId="16" fillId="3" borderId="0" xfId="1" applyNumberFormat="1" applyFont="1" applyFill="1" applyBorder="1" applyAlignment="1">
      <alignment vertical="center"/>
    </xf>
    <xf numFmtId="0" fontId="8" fillId="6" borderId="14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10" fontId="8" fillId="6" borderId="16" xfId="0" applyNumberFormat="1" applyFont="1" applyFill="1" applyBorder="1" applyAlignment="1">
      <alignment horizontal="center" vertical="center"/>
    </xf>
    <xf numFmtId="0" fontId="11" fillId="10" borderId="19" xfId="0" applyFont="1" applyFill="1" applyBorder="1" applyAlignment="1">
      <alignment horizontal="center" vertical="center"/>
    </xf>
    <xf numFmtId="0" fontId="11" fillId="10" borderId="19" xfId="0" applyFont="1" applyFill="1" applyBorder="1" applyAlignment="1">
      <alignment horizontal="center" vertical="center" wrapText="1"/>
    </xf>
    <xf numFmtId="0" fontId="11" fillId="10" borderId="21" xfId="0" applyFont="1" applyFill="1" applyBorder="1" applyAlignment="1">
      <alignment horizontal="center" vertical="center"/>
    </xf>
    <xf numFmtId="0" fontId="11" fillId="10" borderId="22" xfId="0" applyFont="1" applyFill="1" applyBorder="1" applyAlignment="1">
      <alignment horizontal="center" vertical="center"/>
    </xf>
    <xf numFmtId="0" fontId="11" fillId="10" borderId="25" xfId="0" applyFont="1" applyFill="1" applyBorder="1" applyAlignment="1">
      <alignment horizontal="center" vertical="center"/>
    </xf>
    <xf numFmtId="9" fontId="4" fillId="6" borderId="26" xfId="0" applyNumberFormat="1" applyFont="1" applyFill="1" applyBorder="1" applyAlignment="1">
      <alignment horizontal="center" vertical="center"/>
    </xf>
    <xf numFmtId="1" fontId="4" fillId="0" borderId="26" xfId="0" applyNumberFormat="1" applyFont="1" applyBorder="1" applyAlignment="1">
      <alignment horizontal="center"/>
    </xf>
    <xf numFmtId="9" fontId="4" fillId="6" borderId="24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6" borderId="31" xfId="0" applyFill="1" applyBorder="1" applyAlignment="1">
      <alignment horizontal="left"/>
    </xf>
    <xf numFmtId="0" fontId="0" fillId="6" borderId="32" xfId="0" applyFill="1" applyBorder="1" applyAlignment="1">
      <alignment horizontal="left"/>
    </xf>
    <xf numFmtId="0" fontId="0" fillId="6" borderId="35" xfId="0" applyFill="1" applyBorder="1" applyAlignment="1">
      <alignment horizontal="left"/>
    </xf>
    <xf numFmtId="0" fontId="0" fillId="6" borderId="36" xfId="0" applyFill="1" applyBorder="1" applyAlignment="1">
      <alignment horizontal="left"/>
    </xf>
    <xf numFmtId="0" fontId="12" fillId="6" borderId="38" xfId="0" applyFont="1" applyFill="1" applyBorder="1" applyAlignment="1">
      <alignment horizontal="center" vertical="center"/>
    </xf>
    <xf numFmtId="0" fontId="12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1" fillId="10" borderId="27" xfId="0" applyFont="1" applyFill="1" applyBorder="1" applyAlignment="1">
      <alignment horizontal="center" vertical="center" wrapText="1"/>
    </xf>
    <xf numFmtId="0" fontId="11" fillId="10" borderId="46" xfId="0" applyFont="1" applyFill="1" applyBorder="1" applyAlignment="1">
      <alignment horizontal="center" vertical="center" wrapText="1"/>
    </xf>
    <xf numFmtId="0" fontId="8" fillId="6" borderId="47" xfId="0" applyFont="1" applyFill="1" applyBorder="1" applyAlignment="1">
      <alignment horizontal="center" vertical="center"/>
    </xf>
    <xf numFmtId="0" fontId="0" fillId="0" borderId="51" xfId="0" applyBorder="1"/>
    <xf numFmtId="0" fontId="0" fillId="0" borderId="52" xfId="0" applyBorder="1"/>
    <xf numFmtId="0" fontId="0" fillId="0" borderId="32" xfId="0" applyBorder="1"/>
    <xf numFmtId="0" fontId="0" fillId="0" borderId="39" xfId="0" applyBorder="1"/>
    <xf numFmtId="0" fontId="0" fillId="0" borderId="33" xfId="0" applyBorder="1"/>
    <xf numFmtId="0" fontId="0" fillId="6" borderId="30" xfId="0" applyFill="1" applyBorder="1" applyAlignment="1">
      <alignment horizontal="left"/>
    </xf>
    <xf numFmtId="0" fontId="0" fillId="6" borderId="34" xfId="0" applyFill="1" applyBorder="1" applyAlignment="1">
      <alignment horizontal="left"/>
    </xf>
    <xf numFmtId="0" fontId="4" fillId="6" borderId="37" xfId="0" applyFont="1" applyFill="1" applyBorder="1" applyAlignment="1">
      <alignment horizontal="center" vertical="center"/>
    </xf>
    <xf numFmtId="0" fontId="22" fillId="3" borderId="51" xfId="0" applyFont="1" applyFill="1" applyBorder="1"/>
    <xf numFmtId="0" fontId="18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25" fillId="3" borderId="0" xfId="0" applyFont="1" applyFill="1" applyAlignment="1">
      <alignment horizontal="center" vertical="center"/>
    </xf>
    <xf numFmtId="0" fontId="26" fillId="3" borderId="0" xfId="0" applyFont="1" applyFill="1"/>
    <xf numFmtId="0" fontId="27" fillId="12" borderId="15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 wrapText="1"/>
    </xf>
    <xf numFmtId="0" fontId="27" fillId="12" borderId="17" xfId="0" applyFont="1" applyFill="1" applyBorder="1" applyAlignment="1">
      <alignment horizontal="center" vertical="center" wrapText="1"/>
    </xf>
    <xf numFmtId="0" fontId="27" fillId="12" borderId="2" xfId="0" applyFont="1" applyFill="1" applyBorder="1" applyAlignment="1">
      <alignment horizontal="center" vertical="center" wrapText="1"/>
    </xf>
    <xf numFmtId="0" fontId="27" fillId="12" borderId="62" xfId="0" applyFont="1" applyFill="1" applyBorder="1" applyAlignment="1">
      <alignment horizontal="center" vertical="center" wrapText="1"/>
    </xf>
    <xf numFmtId="0" fontId="25" fillId="3" borderId="32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0" fillId="3" borderId="51" xfId="0" applyFill="1" applyBorder="1"/>
    <xf numFmtId="0" fontId="25" fillId="3" borderId="52" xfId="0" applyFont="1" applyFill="1" applyBorder="1" applyAlignment="1">
      <alignment horizontal="center" vertical="center"/>
    </xf>
    <xf numFmtId="0" fontId="0" fillId="3" borderId="52" xfId="0" applyFill="1" applyBorder="1"/>
    <xf numFmtId="0" fontId="0" fillId="3" borderId="32" xfId="0" applyFill="1" applyBorder="1"/>
    <xf numFmtId="0" fontId="0" fillId="3" borderId="39" xfId="0" applyFill="1" applyBorder="1"/>
    <xf numFmtId="0" fontId="0" fillId="3" borderId="33" xfId="0" applyFill="1" applyBorder="1"/>
    <xf numFmtId="0" fontId="10" fillId="6" borderId="29" xfId="0" applyFont="1" applyFill="1" applyBorder="1" applyAlignment="1">
      <alignment horizontal="center" vertical="center"/>
    </xf>
    <xf numFmtId="0" fontId="10" fillId="6" borderId="69" xfId="0" applyFont="1" applyFill="1" applyBorder="1" applyAlignment="1">
      <alignment horizontal="center" vertical="center"/>
    </xf>
    <xf numFmtId="0" fontId="29" fillId="4" borderId="1" xfId="4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10" borderId="25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0" fontId="0" fillId="6" borderId="74" xfId="0" applyFill="1" applyBorder="1" applyAlignment="1">
      <alignment horizontal="left"/>
    </xf>
    <xf numFmtId="0" fontId="11" fillId="10" borderId="45" xfId="0" applyFont="1" applyFill="1" applyBorder="1" applyAlignment="1">
      <alignment horizontal="center" vertical="center" wrapText="1"/>
    </xf>
    <xf numFmtId="0" fontId="0" fillId="6" borderId="40" xfId="0" applyFill="1" applyBorder="1" applyAlignment="1">
      <alignment horizontal="left"/>
    </xf>
    <xf numFmtId="0" fontId="0" fillId="6" borderId="47" xfId="0" applyFill="1" applyBorder="1" applyAlignment="1">
      <alignment horizontal="left"/>
    </xf>
    <xf numFmtId="0" fontId="0" fillId="6" borderId="75" xfId="0" applyFill="1" applyBorder="1" applyAlignment="1">
      <alignment horizontal="left"/>
    </xf>
    <xf numFmtId="0" fontId="0" fillId="6" borderId="38" xfId="0" applyFill="1" applyBorder="1" applyAlignment="1">
      <alignment horizontal="left"/>
    </xf>
    <xf numFmtId="0" fontId="0" fillId="6" borderId="76" xfId="0" applyFill="1" applyBorder="1" applyAlignment="1">
      <alignment horizontal="left"/>
    </xf>
    <xf numFmtId="0" fontId="0" fillId="6" borderId="77" xfId="0" applyFill="1" applyBorder="1" applyAlignment="1">
      <alignment horizontal="left"/>
    </xf>
    <xf numFmtId="0" fontId="4" fillId="6" borderId="72" xfId="0" applyFont="1" applyFill="1" applyBorder="1" applyAlignment="1">
      <alignment horizontal="center" vertical="center"/>
    </xf>
    <xf numFmtId="0" fontId="4" fillId="6" borderId="75" xfId="0" applyFont="1" applyFill="1" applyBorder="1" applyAlignment="1">
      <alignment horizontal="center" vertical="center"/>
    </xf>
    <xf numFmtId="0" fontId="4" fillId="6" borderId="78" xfId="0" applyFont="1" applyFill="1" applyBorder="1" applyAlignment="1">
      <alignment horizontal="center" vertical="center"/>
    </xf>
    <xf numFmtId="0" fontId="11" fillId="10" borderId="45" xfId="0" applyFont="1" applyFill="1" applyBorder="1" applyAlignment="1">
      <alignment horizontal="center" vertical="center"/>
    </xf>
    <xf numFmtId="0" fontId="12" fillId="6" borderId="40" xfId="0" applyFont="1" applyFill="1" applyBorder="1" applyAlignment="1">
      <alignment horizontal="center" vertical="center"/>
    </xf>
    <xf numFmtId="0" fontId="12" fillId="6" borderId="74" xfId="0" applyFont="1" applyFill="1" applyBorder="1" applyAlignment="1">
      <alignment horizontal="center" vertical="center"/>
    </xf>
    <xf numFmtId="0" fontId="12" fillId="6" borderId="47" xfId="0" applyFont="1" applyFill="1" applyBorder="1" applyAlignment="1">
      <alignment horizontal="center" vertical="center"/>
    </xf>
    <xf numFmtId="0" fontId="4" fillId="0" borderId="54" xfId="0" applyFont="1" applyBorder="1" applyAlignment="1">
      <alignment horizontal="center"/>
    </xf>
    <xf numFmtId="0" fontId="4" fillId="0" borderId="55" xfId="0" applyFont="1" applyBorder="1" applyAlignment="1">
      <alignment horizontal="center"/>
    </xf>
    <xf numFmtId="10" fontId="4" fillId="0" borderId="29" xfId="0" applyNumberFormat="1" applyFont="1" applyBorder="1" applyAlignment="1">
      <alignment horizontal="center"/>
    </xf>
    <xf numFmtId="9" fontId="4" fillId="0" borderId="29" xfId="0" applyNumberFormat="1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10" fontId="4" fillId="0" borderId="47" xfId="2" applyNumberFormat="1" applyFont="1" applyBorder="1" applyAlignment="1">
      <alignment horizontal="center" vertical="center"/>
    </xf>
    <xf numFmtId="2" fontId="4" fillId="0" borderId="80" xfId="2" applyNumberFormat="1" applyFont="1" applyBorder="1" applyAlignment="1">
      <alignment horizontal="center" vertical="center"/>
    </xf>
    <xf numFmtId="10" fontId="4" fillId="0" borderId="81" xfId="2" applyNumberFormat="1" applyFont="1" applyBorder="1" applyAlignment="1">
      <alignment horizontal="center" vertical="center"/>
    </xf>
    <xf numFmtId="0" fontId="31" fillId="6" borderId="54" xfId="0" applyFont="1" applyFill="1" applyBorder="1" applyAlignment="1">
      <alignment horizontal="center" vertical="center" wrapText="1"/>
    </xf>
    <xf numFmtId="0" fontId="31" fillId="6" borderId="29" xfId="0" applyFont="1" applyFill="1" applyBorder="1" applyAlignment="1">
      <alignment horizontal="center" vertical="center" wrapText="1"/>
    </xf>
    <xf numFmtId="0" fontId="31" fillId="6" borderId="71" xfId="0" applyFont="1" applyFill="1" applyBorder="1" applyAlignment="1">
      <alignment horizontal="center" vertical="center" wrapText="1"/>
    </xf>
    <xf numFmtId="0" fontId="31" fillId="6" borderId="82" xfId="0" applyFont="1" applyFill="1" applyBorder="1" applyAlignment="1">
      <alignment horizontal="center" vertical="center" wrapText="1"/>
    </xf>
    <xf numFmtId="0" fontId="31" fillId="6" borderId="70" xfId="0" applyFont="1" applyFill="1" applyBorder="1" applyAlignment="1">
      <alignment horizontal="center" vertical="center" wrapText="1"/>
    </xf>
    <xf numFmtId="10" fontId="4" fillId="0" borderId="79" xfId="2" applyNumberFormat="1" applyFont="1" applyBorder="1" applyAlignment="1">
      <alignment horizontal="center" vertical="center"/>
    </xf>
    <xf numFmtId="0" fontId="31" fillId="6" borderId="69" xfId="0" applyFont="1" applyFill="1" applyBorder="1" applyAlignment="1">
      <alignment horizontal="center" vertical="center" wrapText="1"/>
    </xf>
    <xf numFmtId="0" fontId="31" fillId="6" borderId="55" xfId="0" applyFont="1" applyFill="1" applyBorder="1" applyAlignment="1">
      <alignment horizontal="center" vertical="center" wrapText="1"/>
    </xf>
    <xf numFmtId="10" fontId="4" fillId="3" borderId="33" xfId="2" applyNumberFormat="1" applyFont="1" applyFill="1" applyBorder="1" applyAlignment="1">
      <alignment horizontal="center" vertical="center"/>
    </xf>
    <xf numFmtId="10" fontId="4" fillId="0" borderId="39" xfId="2" applyNumberFormat="1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167" fontId="31" fillId="0" borderId="47" xfId="0" applyNumberFormat="1" applyFont="1" applyBorder="1" applyAlignment="1">
      <alignment horizontal="center" vertical="center"/>
    </xf>
    <xf numFmtId="167" fontId="31" fillId="0" borderId="39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69" xfId="0" applyBorder="1"/>
    <xf numFmtId="0" fontId="0" fillId="0" borderId="55" xfId="0" applyBorder="1"/>
    <xf numFmtId="0" fontId="4" fillId="0" borderId="32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0" fillId="0" borderId="54" xfId="0" applyBorder="1"/>
    <xf numFmtId="10" fontId="4" fillId="0" borderId="33" xfId="2" applyNumberFormat="1" applyFont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6" borderId="69" xfId="0" applyFont="1" applyFill="1" applyBorder="1" applyAlignment="1">
      <alignment horizontal="center" vertical="center"/>
    </xf>
    <xf numFmtId="0" fontId="4" fillId="6" borderId="55" xfId="0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vertical="center"/>
    </xf>
    <xf numFmtId="0" fontId="5" fillId="17" borderId="4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vertical="center"/>
    </xf>
    <xf numFmtId="168" fontId="1" fillId="18" borderId="4" xfId="1" applyNumberFormat="1" applyFill="1" applyBorder="1" applyAlignment="1">
      <alignment vertical="center"/>
    </xf>
    <xf numFmtId="0" fontId="0" fillId="18" borderId="4" xfId="0" applyFill="1" applyBorder="1" applyAlignment="1">
      <alignment horizontal="center" vertical="center"/>
    </xf>
    <xf numFmtId="0" fontId="4" fillId="19" borderId="4" xfId="0" applyFont="1" applyFill="1" applyBorder="1" applyAlignment="1">
      <alignment vertical="center"/>
    </xf>
    <xf numFmtId="168" fontId="1" fillId="19" borderId="4" xfId="1" applyNumberFormat="1" applyFill="1" applyBorder="1" applyAlignment="1">
      <alignment vertical="center"/>
    </xf>
    <xf numFmtId="0" fontId="0" fillId="19" borderId="4" xfId="0" applyFill="1" applyBorder="1" applyAlignment="1">
      <alignment horizontal="center" vertical="center"/>
    </xf>
    <xf numFmtId="168" fontId="1" fillId="0" borderId="0" xfId="1" applyNumberFormat="1" applyAlignment="1">
      <alignment vertical="center"/>
    </xf>
    <xf numFmtId="168" fontId="5" fillId="17" borderId="4" xfId="1" applyNumberFormat="1" applyFont="1" applyFill="1" applyBorder="1" applyAlignment="1">
      <alignment vertical="center"/>
    </xf>
    <xf numFmtId="0" fontId="32" fillId="17" borderId="4" xfId="0" applyFont="1" applyFill="1" applyBorder="1" applyAlignment="1">
      <alignment vertical="center"/>
    </xf>
    <xf numFmtId="0" fontId="33" fillId="0" borderId="4" xfId="0" applyFont="1" applyBorder="1" applyAlignment="1">
      <alignment horizontal="justify" vertical="top" wrapText="1"/>
    </xf>
    <xf numFmtId="169" fontId="34" fillId="0" borderId="4" xfId="0" applyNumberFormat="1" applyFont="1" applyBorder="1" applyAlignment="1">
      <alignment horizontal="justify" vertical="center" wrapText="1"/>
    </xf>
    <xf numFmtId="0" fontId="34" fillId="0" borderId="4" xfId="0" applyFont="1" applyBorder="1" applyAlignment="1">
      <alignment horizontal="center" vertical="center" wrapText="1"/>
    </xf>
    <xf numFmtId="169" fontId="34" fillId="19" borderId="4" xfId="0" applyNumberFormat="1" applyFont="1" applyFill="1" applyBorder="1" applyAlignment="1">
      <alignment horizontal="justify" vertical="center" wrapText="1"/>
    </xf>
    <xf numFmtId="0" fontId="0" fillId="0" borderId="50" xfId="0" applyBorder="1"/>
    <xf numFmtId="0" fontId="4" fillId="0" borderId="0" xfId="0" applyFont="1" applyAlignment="1">
      <alignment horizontal="left"/>
    </xf>
    <xf numFmtId="0" fontId="36" fillId="17" borderId="4" xfId="0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center" vertical="center"/>
    </xf>
    <xf numFmtId="0" fontId="36" fillId="17" borderId="4" xfId="0" applyFont="1" applyFill="1" applyBorder="1" applyAlignment="1">
      <alignment vertical="center"/>
    </xf>
    <xf numFmtId="169" fontId="37" fillId="0" borderId="4" xfId="0" applyNumberFormat="1" applyFont="1" applyBorder="1" applyAlignment="1">
      <alignment vertical="center"/>
    </xf>
    <xf numFmtId="0" fontId="4" fillId="19" borderId="4" xfId="0" applyFont="1" applyFill="1" applyBorder="1" applyAlignment="1">
      <alignment horizontal="center" vertical="center"/>
    </xf>
    <xf numFmtId="0" fontId="0" fillId="5" borderId="0" xfId="0" applyFill="1"/>
    <xf numFmtId="0" fontId="23" fillId="9" borderId="29" xfId="0" applyFont="1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/>
    </xf>
    <xf numFmtId="9" fontId="4" fillId="0" borderId="29" xfId="2" applyFont="1" applyBorder="1" applyAlignment="1">
      <alignment horizontal="center" vertical="center"/>
    </xf>
    <xf numFmtId="10" fontId="4" fillId="0" borderId="29" xfId="2" applyNumberFormat="1" applyFont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9" fontId="0" fillId="0" borderId="0" xfId="2" applyFont="1" applyBorder="1"/>
    <xf numFmtId="9" fontId="0" fillId="0" borderId="0" xfId="2" applyFont="1" applyBorder="1" applyAlignment="1">
      <alignment horizontal="center"/>
    </xf>
    <xf numFmtId="0" fontId="0" fillId="5" borderId="51" xfId="0" applyFill="1" applyBorder="1"/>
    <xf numFmtId="0" fontId="0" fillId="5" borderId="52" xfId="0" applyFill="1" applyBorder="1"/>
    <xf numFmtId="0" fontId="0" fillId="5" borderId="48" xfId="0" applyFill="1" applyBorder="1"/>
    <xf numFmtId="0" fontId="0" fillId="5" borderId="49" xfId="0" applyFill="1" applyBorder="1"/>
    <xf numFmtId="0" fontId="0" fillId="5" borderId="50" xfId="0" applyFill="1" applyBorder="1"/>
    <xf numFmtId="0" fontId="0" fillId="0" borderId="54" xfId="0" applyBorder="1" applyAlignment="1">
      <alignment horizontal="left" vertical="center" wrapText="1"/>
    </xf>
    <xf numFmtId="0" fontId="0" fillId="0" borderId="69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4" fillId="15" borderId="54" xfId="0" applyFont="1" applyFill="1" applyBorder="1" applyAlignment="1">
      <alignment horizontal="center"/>
    </xf>
    <xf numFmtId="0" fontId="4" fillId="15" borderId="69" xfId="0" applyFont="1" applyFill="1" applyBorder="1" applyAlignment="1">
      <alignment horizontal="center"/>
    </xf>
    <xf numFmtId="0" fontId="4" fillId="15" borderId="55" xfId="0" applyFont="1" applyFill="1" applyBorder="1" applyAlignment="1">
      <alignment horizontal="center"/>
    </xf>
    <xf numFmtId="0" fontId="4" fillId="16" borderId="54" xfId="0" applyFont="1" applyFill="1" applyBorder="1" applyAlignment="1">
      <alignment horizontal="center"/>
    </xf>
    <xf numFmtId="0" fontId="4" fillId="16" borderId="69" xfId="0" applyFont="1" applyFill="1" applyBorder="1" applyAlignment="1">
      <alignment horizontal="center"/>
    </xf>
    <xf numFmtId="0" fontId="4" fillId="16" borderId="55" xfId="0" applyFont="1" applyFill="1" applyBorder="1" applyAlignment="1">
      <alignment horizontal="center"/>
    </xf>
    <xf numFmtId="0" fontId="3" fillId="17" borderId="4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36" fillId="17" borderId="4" xfId="0" applyFont="1" applyFill="1" applyBorder="1" applyAlignment="1">
      <alignment horizontal="center" vertical="center"/>
    </xf>
    <xf numFmtId="0" fontId="4" fillId="7" borderId="48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1" xfId="0" applyFont="1" applyFill="1" applyBorder="1" applyAlignment="1">
      <alignment horizontal="center" vertical="center" wrapText="1"/>
    </xf>
    <xf numFmtId="0" fontId="4" fillId="7" borderId="52" xfId="0" applyFont="1" applyFill="1" applyBorder="1" applyAlignment="1">
      <alignment horizontal="center" vertical="center" wrapText="1"/>
    </xf>
    <xf numFmtId="0" fontId="4" fillId="7" borderId="32" xfId="0" applyFont="1" applyFill="1" applyBorder="1" applyAlignment="1">
      <alignment horizontal="center" vertical="center" wrapText="1"/>
    </xf>
    <xf numFmtId="0" fontId="4" fillId="7" borderId="33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wrapText="1"/>
    </xf>
    <xf numFmtId="0" fontId="28" fillId="7" borderId="15" xfId="0" applyFont="1" applyFill="1" applyBorder="1" applyAlignment="1">
      <alignment horizontal="center" vertical="center"/>
    </xf>
    <xf numFmtId="0" fontId="28" fillId="7" borderId="18" xfId="0" applyFont="1" applyFill="1" applyBorder="1" applyAlignment="1">
      <alignment horizontal="center" vertical="center"/>
    </xf>
    <xf numFmtId="9" fontId="20" fillId="0" borderId="15" xfId="2" applyFont="1" applyBorder="1" applyAlignment="1">
      <alignment horizontal="center" vertical="center"/>
    </xf>
    <xf numFmtId="9" fontId="20" fillId="0" borderId="18" xfId="2" applyFont="1" applyBorder="1" applyAlignment="1">
      <alignment horizontal="center" vertical="center"/>
    </xf>
    <xf numFmtId="9" fontId="20" fillId="0" borderId="16" xfId="2" applyFont="1" applyBorder="1" applyAlignment="1">
      <alignment horizontal="center" vertical="center"/>
    </xf>
    <xf numFmtId="0" fontId="19" fillId="13" borderId="15" xfId="0" applyFont="1" applyFill="1" applyBorder="1" applyAlignment="1">
      <alignment horizontal="left"/>
    </xf>
    <xf numFmtId="0" fontId="19" fillId="13" borderId="18" xfId="0" applyFont="1" applyFill="1" applyBorder="1" applyAlignment="1">
      <alignment horizontal="left"/>
    </xf>
    <xf numFmtId="0" fontId="19" fillId="13" borderId="16" xfId="0" applyFont="1" applyFill="1" applyBorder="1" applyAlignment="1">
      <alignment horizontal="left"/>
    </xf>
    <xf numFmtId="0" fontId="19" fillId="14" borderId="64" xfId="0" applyFont="1" applyFill="1" applyBorder="1" applyAlignment="1">
      <alignment horizontal="center" vertical="center" wrapText="1"/>
    </xf>
    <xf numFmtId="0" fontId="19" fillId="14" borderId="65" xfId="0" applyFont="1" applyFill="1" applyBorder="1" applyAlignment="1">
      <alignment horizontal="center" vertical="center" wrapText="1"/>
    </xf>
    <xf numFmtId="0" fontId="19" fillId="14" borderId="66" xfId="0" applyFont="1" applyFill="1" applyBorder="1" applyAlignment="1">
      <alignment horizontal="center" vertical="center" wrapText="1"/>
    </xf>
    <xf numFmtId="9" fontId="20" fillId="0" borderId="67" xfId="2" applyFont="1" applyBorder="1" applyAlignment="1">
      <alignment horizontal="center" vertical="center"/>
    </xf>
    <xf numFmtId="9" fontId="20" fillId="0" borderId="63" xfId="2" applyFont="1" applyBorder="1" applyAlignment="1">
      <alignment horizontal="center" vertical="center"/>
    </xf>
    <xf numFmtId="9" fontId="20" fillId="0" borderId="68" xfId="2" applyFont="1" applyBorder="1" applyAlignment="1">
      <alignment horizontal="center" vertical="center"/>
    </xf>
    <xf numFmtId="0" fontId="25" fillId="3" borderId="48" xfId="0" applyFont="1" applyFill="1" applyBorder="1" applyAlignment="1">
      <alignment horizontal="center" vertical="center"/>
    </xf>
    <xf numFmtId="0" fontId="25" fillId="3" borderId="49" xfId="0" applyFont="1" applyFill="1" applyBorder="1" applyAlignment="1">
      <alignment horizontal="center" vertical="center"/>
    </xf>
    <xf numFmtId="0" fontId="25" fillId="3" borderId="50" xfId="0" applyFont="1" applyFill="1" applyBorder="1" applyAlignment="1">
      <alignment horizontal="center" vertical="center"/>
    </xf>
    <xf numFmtId="0" fontId="25" fillId="3" borderId="32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horizontal="center" vertical="center"/>
    </xf>
    <xf numFmtId="0" fontId="25" fillId="3" borderId="33" xfId="0" applyFont="1" applyFill="1" applyBorder="1" applyAlignment="1">
      <alignment horizontal="center" vertical="center"/>
    </xf>
    <xf numFmtId="0" fontId="24" fillId="4" borderId="54" xfId="0" applyFont="1" applyFill="1" applyBorder="1" applyAlignment="1">
      <alignment horizontal="center" vertical="center"/>
    </xf>
    <xf numFmtId="0" fontId="24" fillId="4" borderId="69" xfId="0" applyFont="1" applyFill="1" applyBorder="1" applyAlignment="1">
      <alignment horizontal="center" vertical="center"/>
    </xf>
    <xf numFmtId="0" fontId="24" fillId="4" borderId="55" xfId="0" applyFont="1" applyFill="1" applyBorder="1" applyAlignment="1">
      <alignment horizontal="center" vertical="center"/>
    </xf>
    <xf numFmtId="0" fontId="19" fillId="13" borderId="58" xfId="0" applyFont="1" applyFill="1" applyBorder="1" applyAlignment="1">
      <alignment horizontal="left"/>
    </xf>
    <xf numFmtId="0" fontId="19" fillId="13" borderId="49" xfId="0" applyFont="1" applyFill="1" applyBorder="1" applyAlignment="1">
      <alignment horizontal="left"/>
    </xf>
    <xf numFmtId="0" fontId="19" fillId="13" borderId="57" xfId="0" applyFont="1" applyFill="1" applyBorder="1" applyAlignment="1">
      <alignment horizontal="left"/>
    </xf>
    <xf numFmtId="0" fontId="19" fillId="13" borderId="5" xfId="0" applyFont="1" applyFill="1" applyBorder="1" applyAlignment="1">
      <alignment horizontal="left"/>
    </xf>
    <xf numFmtId="0" fontId="19" fillId="13" borderId="6" xfId="0" applyFont="1" applyFill="1" applyBorder="1" applyAlignment="1">
      <alignment horizontal="left"/>
    </xf>
    <xf numFmtId="0" fontId="19" fillId="13" borderId="7" xfId="0" applyFont="1" applyFill="1" applyBorder="1" applyAlignment="1">
      <alignment horizontal="left"/>
    </xf>
    <xf numFmtId="0" fontId="18" fillId="7" borderId="48" xfId="0" applyFont="1" applyFill="1" applyBorder="1" applyAlignment="1">
      <alignment horizontal="center" vertical="center"/>
    </xf>
    <xf numFmtId="0" fontId="18" fillId="7" borderId="49" xfId="0" applyFont="1" applyFill="1" applyBorder="1" applyAlignment="1">
      <alignment horizontal="center" vertical="center"/>
    </xf>
    <xf numFmtId="0" fontId="18" fillId="7" borderId="50" xfId="0" applyFont="1" applyFill="1" applyBorder="1" applyAlignment="1">
      <alignment horizontal="center" vertical="center"/>
    </xf>
    <xf numFmtId="0" fontId="18" fillId="7" borderId="51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52" xfId="0" applyFont="1" applyFill="1" applyBorder="1" applyAlignment="1">
      <alignment horizontal="center" vertical="center"/>
    </xf>
    <xf numFmtId="166" fontId="16" fillId="6" borderId="67" xfId="1" applyNumberFormat="1" applyFont="1" applyFill="1" applyBorder="1" applyAlignment="1">
      <alignment horizontal="center" vertical="center"/>
    </xf>
    <xf numFmtId="166" fontId="16" fillId="6" borderId="63" xfId="1" applyNumberFormat="1" applyFont="1" applyFill="1" applyBorder="1" applyAlignment="1">
      <alignment horizontal="center" vertical="center"/>
    </xf>
    <xf numFmtId="166" fontId="16" fillId="6" borderId="68" xfId="1" applyNumberFormat="1" applyFont="1" applyFill="1" applyBorder="1" applyAlignment="1">
      <alignment horizontal="center" vertical="center"/>
    </xf>
    <xf numFmtId="0" fontId="19" fillId="12" borderId="15" xfId="0" applyFont="1" applyFill="1" applyBorder="1" applyAlignment="1">
      <alignment horizontal="center" vertical="center" wrapText="1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6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166" fontId="30" fillId="6" borderId="5" xfId="1" applyNumberFormat="1" applyFont="1" applyFill="1" applyBorder="1" applyAlignment="1">
      <alignment horizontal="center" vertical="center"/>
    </xf>
    <xf numFmtId="166" fontId="30" fillId="6" borderId="6" xfId="1" applyNumberFormat="1" applyFont="1" applyFill="1" applyBorder="1" applyAlignment="1">
      <alignment horizontal="center" vertical="center"/>
    </xf>
    <xf numFmtId="166" fontId="30" fillId="6" borderId="7" xfId="1" applyNumberFormat="1" applyFont="1" applyFill="1" applyBorder="1" applyAlignment="1">
      <alignment horizontal="center" vertical="center"/>
    </xf>
    <xf numFmtId="166" fontId="30" fillId="6" borderId="9" xfId="1" applyNumberFormat="1" applyFont="1" applyFill="1" applyBorder="1" applyAlignment="1">
      <alignment horizontal="center" vertical="center"/>
    </xf>
    <xf numFmtId="166" fontId="30" fillId="6" borderId="0" xfId="1" applyNumberFormat="1" applyFont="1" applyFill="1" applyBorder="1" applyAlignment="1">
      <alignment horizontal="center" vertical="center"/>
    </xf>
    <xf numFmtId="166" fontId="30" fillId="6" borderId="10" xfId="1" applyNumberFormat="1" applyFont="1" applyFill="1" applyBorder="1" applyAlignment="1">
      <alignment horizontal="center" vertical="center"/>
    </xf>
    <xf numFmtId="166" fontId="30" fillId="6" borderId="11" xfId="1" applyNumberFormat="1" applyFont="1" applyFill="1" applyBorder="1" applyAlignment="1">
      <alignment horizontal="center" vertical="center"/>
    </xf>
    <xf numFmtId="166" fontId="30" fillId="6" borderId="12" xfId="1" applyNumberFormat="1" applyFont="1" applyFill="1" applyBorder="1" applyAlignment="1">
      <alignment horizontal="center" vertical="center"/>
    </xf>
    <xf numFmtId="166" fontId="30" fillId="6" borderId="13" xfId="1" applyNumberFormat="1" applyFont="1" applyFill="1" applyBorder="1" applyAlignment="1">
      <alignment horizontal="center" vertical="center"/>
    </xf>
    <xf numFmtId="0" fontId="21" fillId="9" borderId="48" xfId="0" applyFont="1" applyFill="1" applyBorder="1" applyAlignment="1">
      <alignment horizontal="center" vertical="center" wrapText="1"/>
    </xf>
    <xf numFmtId="0" fontId="21" fillId="9" borderId="49" xfId="0" applyFont="1" applyFill="1" applyBorder="1" applyAlignment="1">
      <alignment horizontal="center" vertical="center" wrapText="1"/>
    </xf>
    <xf numFmtId="0" fontId="21" fillId="9" borderId="50" xfId="0" applyFont="1" applyFill="1" applyBorder="1" applyAlignment="1">
      <alignment horizontal="center" vertical="center" wrapText="1"/>
    </xf>
    <xf numFmtId="0" fontId="21" fillId="9" borderId="51" xfId="0" applyFont="1" applyFill="1" applyBorder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0" fontId="21" fillId="9" borderId="52" xfId="0" applyFont="1" applyFill="1" applyBorder="1" applyAlignment="1">
      <alignment horizontal="center" vertical="center" wrapText="1"/>
    </xf>
    <xf numFmtId="0" fontId="21" fillId="9" borderId="32" xfId="0" applyFont="1" applyFill="1" applyBorder="1" applyAlignment="1">
      <alignment horizontal="center" vertical="center" wrapText="1"/>
    </xf>
    <xf numFmtId="0" fontId="21" fillId="9" borderId="39" xfId="0" applyFont="1" applyFill="1" applyBorder="1" applyAlignment="1">
      <alignment horizontal="center" vertical="center" wrapText="1"/>
    </xf>
    <xf numFmtId="0" fontId="21" fillId="9" borderId="33" xfId="0" applyFont="1" applyFill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7" fillId="5" borderId="20" xfId="3" applyFont="1" applyFill="1" applyBorder="1" applyAlignment="1">
      <alignment horizontal="center" vertical="center" wrapText="1"/>
    </xf>
    <xf numFmtId="0" fontId="7" fillId="5" borderId="53" xfId="3" applyFont="1" applyFill="1" applyBorder="1" applyAlignment="1">
      <alignment horizontal="center" vertical="center" wrapText="1"/>
    </xf>
    <xf numFmtId="0" fontId="9" fillId="7" borderId="1" xfId="3" applyFont="1" applyFill="1" applyBorder="1" applyAlignment="1">
      <alignment horizontal="center" vertical="center" wrapText="1"/>
    </xf>
    <xf numFmtId="10" fontId="8" fillId="6" borderId="18" xfId="0" applyNumberFormat="1" applyFont="1" applyFill="1" applyBorder="1" applyAlignment="1">
      <alignment horizontal="center" vertical="center"/>
    </xf>
    <xf numFmtId="10" fontId="8" fillId="6" borderId="73" xfId="0" applyNumberFormat="1" applyFont="1" applyFill="1" applyBorder="1" applyAlignment="1">
      <alignment horizontal="center" vertical="center"/>
    </xf>
    <xf numFmtId="0" fontId="21" fillId="11" borderId="48" xfId="0" applyFont="1" applyFill="1" applyBorder="1" applyAlignment="1">
      <alignment horizontal="center" vertical="center" wrapText="1"/>
    </xf>
    <xf numFmtId="0" fontId="21" fillId="11" borderId="49" xfId="0" applyFont="1" applyFill="1" applyBorder="1" applyAlignment="1">
      <alignment horizontal="center" vertical="center" wrapText="1"/>
    </xf>
    <xf numFmtId="0" fontId="21" fillId="11" borderId="50" xfId="0" applyFont="1" applyFill="1" applyBorder="1" applyAlignment="1">
      <alignment horizontal="center" vertical="center" wrapText="1"/>
    </xf>
    <xf numFmtId="0" fontId="21" fillId="11" borderId="51" xfId="0" applyFont="1" applyFill="1" applyBorder="1" applyAlignment="1">
      <alignment horizontal="center" vertical="center" wrapText="1"/>
    </xf>
    <xf numFmtId="0" fontId="21" fillId="11" borderId="0" xfId="0" applyFont="1" applyFill="1" applyAlignment="1">
      <alignment horizontal="center" vertical="center" wrapText="1"/>
    </xf>
    <xf numFmtId="0" fontId="21" fillId="11" borderId="52" xfId="0" applyFont="1" applyFill="1" applyBorder="1" applyAlignment="1">
      <alignment horizontal="center" vertical="center" wrapText="1"/>
    </xf>
    <xf numFmtId="0" fontId="21" fillId="11" borderId="32" xfId="0" applyFont="1" applyFill="1" applyBorder="1" applyAlignment="1">
      <alignment horizontal="center" vertical="center" wrapText="1"/>
    </xf>
    <xf numFmtId="0" fontId="21" fillId="11" borderId="39" xfId="0" applyFont="1" applyFill="1" applyBorder="1" applyAlignment="1">
      <alignment horizontal="center" vertical="center" wrapText="1"/>
    </xf>
    <xf numFmtId="0" fontId="21" fillId="11" borderId="33" xfId="0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7" fillId="5" borderId="54" xfId="3" applyFont="1" applyFill="1" applyBorder="1" applyAlignment="1">
      <alignment horizontal="center" vertical="center" wrapText="1"/>
    </xf>
    <xf numFmtId="0" fontId="7" fillId="5" borderId="55" xfId="3" applyFont="1" applyFill="1" applyBorder="1" applyAlignment="1">
      <alignment horizontal="center" vertical="center" wrapText="1"/>
    </xf>
    <xf numFmtId="10" fontId="10" fillId="6" borderId="48" xfId="0" applyNumberFormat="1" applyFont="1" applyFill="1" applyBorder="1" applyAlignment="1">
      <alignment horizontal="center" vertical="center"/>
    </xf>
    <xf numFmtId="10" fontId="10" fillId="6" borderId="49" xfId="0" applyNumberFormat="1" applyFont="1" applyFill="1" applyBorder="1" applyAlignment="1">
      <alignment horizontal="center" vertical="center"/>
    </xf>
    <xf numFmtId="10" fontId="10" fillId="6" borderId="57" xfId="0" applyNumberFormat="1" applyFont="1" applyFill="1" applyBorder="1" applyAlignment="1">
      <alignment horizontal="center" vertical="center"/>
    </xf>
    <xf numFmtId="10" fontId="10" fillId="6" borderId="51" xfId="0" applyNumberFormat="1" applyFont="1" applyFill="1" applyBorder="1" applyAlignment="1">
      <alignment horizontal="center" vertical="center"/>
    </xf>
    <xf numFmtId="10" fontId="10" fillId="6" borderId="0" xfId="0" applyNumberFormat="1" applyFont="1" applyFill="1" applyAlignment="1">
      <alignment horizontal="center" vertical="center"/>
    </xf>
    <xf numFmtId="10" fontId="10" fillId="6" borderId="10" xfId="0" applyNumberFormat="1" applyFont="1" applyFill="1" applyBorder="1" applyAlignment="1">
      <alignment horizontal="center" vertical="center"/>
    </xf>
    <xf numFmtId="10" fontId="10" fillId="6" borderId="59" xfId="0" applyNumberFormat="1" applyFont="1" applyFill="1" applyBorder="1" applyAlignment="1">
      <alignment horizontal="center" vertical="center"/>
    </xf>
    <xf numFmtId="10" fontId="10" fillId="6" borderId="12" xfId="0" applyNumberFormat="1" applyFont="1" applyFill="1" applyBorder="1" applyAlignment="1">
      <alignment horizontal="center" vertical="center"/>
    </xf>
    <xf numFmtId="10" fontId="10" fillId="6" borderId="13" xfId="0" applyNumberFormat="1" applyFont="1" applyFill="1" applyBorder="1" applyAlignment="1">
      <alignment horizontal="center" vertical="center"/>
    </xf>
    <xf numFmtId="9" fontId="10" fillId="6" borderId="48" xfId="2" applyFont="1" applyFill="1" applyBorder="1" applyAlignment="1">
      <alignment horizontal="center" vertical="center"/>
    </xf>
    <xf numFmtId="9" fontId="10" fillId="6" borderId="50" xfId="2" applyFont="1" applyFill="1" applyBorder="1" applyAlignment="1">
      <alignment horizontal="center" vertical="center"/>
    </xf>
    <xf numFmtId="9" fontId="10" fillId="6" borderId="51" xfId="2" applyFont="1" applyFill="1" applyBorder="1" applyAlignment="1">
      <alignment horizontal="center" vertical="center"/>
    </xf>
    <xf numFmtId="9" fontId="10" fillId="6" borderId="52" xfId="2" applyFont="1" applyFill="1" applyBorder="1" applyAlignment="1">
      <alignment horizontal="center" vertical="center"/>
    </xf>
    <xf numFmtId="9" fontId="10" fillId="6" borderId="32" xfId="2" applyFont="1" applyFill="1" applyBorder="1" applyAlignment="1">
      <alignment horizontal="center" vertical="center"/>
    </xf>
    <xf numFmtId="9" fontId="10" fillId="6" borderId="33" xfId="2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 wrapText="1"/>
    </xf>
    <xf numFmtId="0" fontId="11" fillId="10" borderId="21" xfId="0" applyFont="1" applyFill="1" applyBorder="1" applyAlignment="1">
      <alignment horizontal="center" vertical="center"/>
    </xf>
    <xf numFmtId="0" fontId="11" fillId="10" borderId="22" xfId="0" applyFont="1" applyFill="1" applyBorder="1" applyAlignment="1">
      <alignment horizontal="center" vertical="center"/>
    </xf>
    <xf numFmtId="0" fontId="11" fillId="10" borderId="28" xfId="0" applyFont="1" applyFill="1" applyBorder="1" applyAlignment="1">
      <alignment horizontal="center" vertical="center"/>
    </xf>
    <xf numFmtId="0" fontId="11" fillId="10" borderId="23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10" borderId="56" xfId="0" applyFont="1" applyFill="1" applyBorder="1" applyAlignment="1">
      <alignment horizontal="center" vertical="center"/>
    </xf>
    <xf numFmtId="0" fontId="11" fillId="10" borderId="60" xfId="0" applyFont="1" applyFill="1" applyBorder="1" applyAlignment="1">
      <alignment horizontal="center" vertical="center"/>
    </xf>
    <xf numFmtId="0" fontId="11" fillId="10" borderId="39" xfId="0" applyFont="1" applyFill="1" applyBorder="1" applyAlignment="1">
      <alignment horizontal="center" vertical="center"/>
    </xf>
    <xf numFmtId="0" fontId="11" fillId="10" borderId="61" xfId="0" applyFont="1" applyFill="1" applyBorder="1" applyAlignment="1">
      <alignment horizontal="center" vertical="center"/>
    </xf>
    <xf numFmtId="0" fontId="14" fillId="7" borderId="58" xfId="0" applyFont="1" applyFill="1" applyBorder="1" applyAlignment="1">
      <alignment horizontal="center" vertical="center" wrapText="1"/>
    </xf>
    <xf numFmtId="0" fontId="14" fillId="7" borderId="49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10" fontId="10" fillId="6" borderId="48" xfId="2" applyNumberFormat="1" applyFont="1" applyFill="1" applyBorder="1" applyAlignment="1">
      <alignment horizontal="center" vertical="center"/>
    </xf>
    <xf numFmtId="10" fontId="10" fillId="6" borderId="50" xfId="2" applyNumberFormat="1" applyFont="1" applyFill="1" applyBorder="1" applyAlignment="1">
      <alignment horizontal="center" vertical="center"/>
    </xf>
    <xf numFmtId="10" fontId="10" fillId="6" borderId="51" xfId="2" applyNumberFormat="1" applyFont="1" applyFill="1" applyBorder="1" applyAlignment="1">
      <alignment horizontal="center" vertical="center"/>
    </xf>
    <xf numFmtId="10" fontId="10" fillId="6" borderId="52" xfId="2" applyNumberFormat="1" applyFont="1" applyFill="1" applyBorder="1" applyAlignment="1">
      <alignment horizontal="center" vertical="center"/>
    </xf>
    <xf numFmtId="10" fontId="10" fillId="6" borderId="32" xfId="2" applyNumberFormat="1" applyFont="1" applyFill="1" applyBorder="1" applyAlignment="1">
      <alignment horizontal="center" vertical="center"/>
    </xf>
    <xf numFmtId="10" fontId="10" fillId="6" borderId="33" xfId="2" applyNumberFormat="1" applyFont="1" applyFill="1" applyBorder="1" applyAlignment="1">
      <alignment horizontal="center" vertical="center"/>
    </xf>
  </cellXfs>
  <cellStyles count="5">
    <cellStyle name="Bueno" xfId="3" builtinId="26"/>
    <cellStyle name="Hipervínculo" xfId="4" builtinId="8"/>
    <cellStyle name="Moneda" xfId="1" builtinId="4"/>
    <cellStyle name="Normal" xfId="0" builtinId="0"/>
    <cellStyle name="Porcentaje" xfId="2" builtinId="5"/>
  </cellStyles>
  <dxfs count="248"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patternFill patternType="solid">
          <fgColor auto="1"/>
          <bgColor rgb="FFFFC000"/>
        </patternFill>
      </fill>
    </dxf>
    <dxf>
      <font>
        <b/>
        <i val="0"/>
      </font>
      <fill>
        <gradientFill degree="90">
          <stop position="0">
            <color rgb="FFFFC000"/>
          </stop>
          <stop position="1">
            <color rgb="FFFFC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9" tint="0.80001220740379042"/>
          </stop>
          <stop position="1">
            <color rgb="FF00B05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5" tint="0.80001220740379042"/>
          </stop>
          <stop position="1">
            <color rgb="FFC00000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</font>
      <fill>
        <gradientFill type="path" left="1" right="1" top="1" bottom="1">
          <stop position="0">
            <color theme="0" tint="-0.25098422193060094"/>
          </stop>
          <stop position="1">
            <color theme="1" tint="0.25098422193060094"/>
          </stop>
        </gradientFill>
      </fill>
    </dxf>
    <dxf>
      <font>
        <b/>
        <i val="0"/>
        <color theme="9" tint="-0.499984740745262"/>
      </font>
      <fill>
        <patternFill>
          <bgColor rgb="FF99FF99"/>
        </patternFill>
      </fill>
    </dxf>
    <dxf>
      <font>
        <b/>
        <i val="0"/>
        <color theme="7" tint="-0.499984740745262"/>
      </font>
      <fill>
        <patternFill>
          <bgColor rgb="FFFFFF99"/>
        </patternFill>
      </fill>
    </dxf>
    <dxf>
      <font>
        <b/>
        <i val="0"/>
        <color rgb="FF752525"/>
      </font>
      <fill>
        <patternFill>
          <bgColor rgb="FFFF9999"/>
        </patternFill>
      </fill>
    </dxf>
    <dxf>
      <font>
        <b/>
        <i val="0"/>
        <color theme="9" tint="-0.499984740745262"/>
      </font>
      <fill>
        <patternFill>
          <bgColor rgb="FF99FF99"/>
        </patternFill>
      </fill>
    </dxf>
    <dxf>
      <font>
        <b/>
        <i val="0"/>
        <color theme="7" tint="-0.499984740745262"/>
      </font>
      <fill>
        <patternFill>
          <bgColor rgb="FFFFFF99"/>
        </patternFill>
      </fill>
    </dxf>
    <dxf>
      <font>
        <b/>
        <i val="0"/>
        <color rgb="FF752525"/>
      </font>
      <fill>
        <patternFill>
          <bgColor rgb="FFFF9999"/>
        </patternFill>
      </fill>
    </dxf>
    <dxf>
      <font>
        <b/>
        <i val="0"/>
        <color theme="9" tint="-0.499984740745262"/>
      </font>
      <fill>
        <patternFill>
          <bgColor rgb="FF99FF99"/>
        </patternFill>
      </fill>
    </dxf>
    <dxf>
      <font>
        <b/>
        <i val="0"/>
        <color theme="7" tint="-0.499984740745262"/>
      </font>
      <fill>
        <patternFill>
          <bgColor rgb="FFFFFF99"/>
        </patternFill>
      </fill>
    </dxf>
    <dxf>
      <font>
        <b/>
        <i val="0"/>
        <color rgb="FF752525"/>
      </font>
      <fill>
        <patternFill>
          <bgColor rgb="FFFF9999"/>
        </patternFill>
      </fill>
    </dxf>
    <dxf>
      <font>
        <b/>
        <i val="0"/>
        <color theme="9" tint="-0.499984740745262"/>
      </font>
      <fill>
        <patternFill>
          <bgColor rgb="FF99FF99"/>
        </patternFill>
      </fill>
    </dxf>
    <dxf>
      <font>
        <b/>
        <i val="0"/>
        <color theme="7" tint="-0.499984740745262"/>
      </font>
      <fill>
        <patternFill>
          <bgColor rgb="FFFFFF99"/>
        </patternFill>
      </fill>
    </dxf>
    <dxf>
      <font>
        <b/>
        <i val="0"/>
        <color rgb="FF752525"/>
      </font>
      <fill>
        <patternFill>
          <bgColor rgb="FFFF9999"/>
        </patternFill>
      </fill>
    </dxf>
    <dxf>
      <font>
        <b/>
        <i val="0"/>
        <color theme="9" tint="-0.499984740745262"/>
      </font>
      <fill>
        <patternFill>
          <bgColor rgb="FF99FF99"/>
        </patternFill>
      </fill>
    </dxf>
    <dxf>
      <font>
        <b/>
        <i val="0"/>
        <color theme="7" tint="-0.499984740745262"/>
      </font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009900"/>
      <color rgb="FFE7CE19"/>
      <color rgb="FF1B1B1B"/>
      <color rgb="FF020202"/>
      <color rgb="FF080808"/>
      <color rgb="FF111111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123825</xdr:colOff>
      <xdr:row>19</xdr:row>
      <xdr:rowOff>276225</xdr:rowOff>
    </xdr:from>
    <xdr:to>
      <xdr:col>17</xdr:col>
      <xdr:colOff>667162</xdr:colOff>
      <xdr:row>19</xdr:row>
      <xdr:rowOff>2343438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B987CF8-6A5C-6D36-AFF3-DFC2716B4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4019550"/>
          <a:ext cx="2953162" cy="20672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1</xdr:col>
      <xdr:colOff>3391375</xdr:colOff>
      <xdr:row>3</xdr:row>
      <xdr:rowOff>28660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781D79-E085-7EAF-9226-A3C6ACBA4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0"/>
          <a:ext cx="3400900" cy="60968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3400900</xdr:colOff>
      <xdr:row>3</xdr:row>
      <xdr:rowOff>28660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C08CFA-3404-4919-8F09-33E08EFED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8900" y="0"/>
          <a:ext cx="3400900" cy="6096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680355</xdr:colOff>
      <xdr:row>17</xdr:row>
      <xdr:rowOff>40823</xdr:rowOff>
    </xdr:from>
    <xdr:to>
      <xdr:col>8</xdr:col>
      <xdr:colOff>84423</xdr:colOff>
      <xdr:row>25</xdr:row>
      <xdr:rowOff>136073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F9F4F2-D25D-A524-BE83-122112C63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498" y="7075716"/>
          <a:ext cx="4955783" cy="1796143"/>
        </a:xfrm>
        <a:prstGeom prst="rect">
          <a:avLst/>
        </a:prstGeom>
      </xdr:spPr>
    </xdr:pic>
    <xdr:clientData/>
  </xdr:twoCellAnchor>
  <xdr:twoCellAnchor editAs="oneCell">
    <xdr:from>
      <xdr:col>9</xdr:col>
      <xdr:colOff>789214</xdr:colOff>
      <xdr:row>22</xdr:row>
      <xdr:rowOff>81642</xdr:rowOff>
    </xdr:from>
    <xdr:to>
      <xdr:col>12</xdr:col>
      <xdr:colOff>1224642</xdr:colOff>
      <xdr:row>25</xdr:row>
      <xdr:rowOff>125645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1950BB5-13D4-A95D-5451-6D3CB9B9B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51821" y="8518071"/>
          <a:ext cx="4299857" cy="615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88B0-D538-49F2-BAFF-CA075CE2586F}">
  <sheetPr>
    <tabColor theme="9" tint="0.39997558519241921"/>
  </sheetPr>
  <dimension ref="A1:S22"/>
  <sheetViews>
    <sheetView showGridLines="0" workbookViewId="0">
      <selection activeCell="G16" sqref="G16"/>
    </sheetView>
  </sheetViews>
  <sheetFormatPr baseColWidth="10" defaultColWidth="0" defaultRowHeight="15" zeroHeight="1"/>
  <cols>
    <col min="1" max="1" width="2.140625" customWidth="1"/>
    <col min="2" max="2" width="20" customWidth="1"/>
    <col min="3" max="3" width="14.85546875" customWidth="1"/>
    <col min="4" max="4" width="14" customWidth="1"/>
    <col min="5" max="5" width="14.28515625" customWidth="1"/>
    <col min="6" max="6" width="12.28515625" customWidth="1"/>
    <col min="7" max="7" width="12.42578125" customWidth="1"/>
    <col min="8" max="11" width="11.42578125" hidden="1" customWidth="1"/>
    <col min="12" max="12" width="11" hidden="1" customWidth="1"/>
    <col min="13" max="14" width="11.42578125" customWidth="1"/>
    <col min="15" max="15" width="13.28515625" customWidth="1"/>
    <col min="16" max="18" width="11.42578125" customWidth="1"/>
    <col min="19" max="19" width="4.85546875" customWidth="1"/>
    <col min="20" max="16384" width="11.42578125" hidden="1"/>
  </cols>
  <sheetData>
    <row r="1" spans="1:19" ht="5.25" customHeight="1" thickBot="1">
      <c r="A1" s="168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70"/>
    </row>
    <row r="2" spans="1:19" ht="15.75" thickBot="1">
      <c r="A2" s="162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50"/>
    </row>
    <row r="3" spans="1:19" ht="15.75" thickBot="1">
      <c r="A3" s="47"/>
      <c r="B3" s="174" t="s">
        <v>83</v>
      </c>
      <c r="C3" s="175"/>
      <c r="D3" s="176"/>
      <c r="S3" s="48"/>
    </row>
    <row r="4" spans="1:19" ht="6.75" customHeight="1" thickBot="1">
      <c r="A4" s="47"/>
      <c r="S4" s="48"/>
    </row>
    <row r="5" spans="1:19" ht="15.75" thickBot="1">
      <c r="A5" s="47"/>
      <c r="B5" s="99" t="s">
        <v>58</v>
      </c>
      <c r="C5" s="101">
        <v>0.755</v>
      </c>
      <c r="D5" s="101">
        <v>0.72499999999999998</v>
      </c>
      <c r="E5" s="102">
        <v>0.9</v>
      </c>
      <c r="F5" s="102">
        <v>0.42</v>
      </c>
      <c r="G5" s="100">
        <v>25</v>
      </c>
      <c r="M5" s="101">
        <v>0.755</v>
      </c>
      <c r="N5" s="101">
        <v>0.72499999999999998</v>
      </c>
      <c r="O5" s="102">
        <v>0.9</v>
      </c>
      <c r="P5" s="102">
        <v>0.42</v>
      </c>
      <c r="Q5" s="100">
        <v>25</v>
      </c>
      <c r="S5" s="48"/>
    </row>
    <row r="6" spans="1:19" ht="15.75" thickBot="1">
      <c r="A6" s="47"/>
      <c r="B6" s="103" t="s">
        <v>74</v>
      </c>
      <c r="C6" s="102">
        <v>0.2</v>
      </c>
      <c r="D6" s="102">
        <v>0.2</v>
      </c>
      <c r="E6" s="102">
        <v>0.2</v>
      </c>
      <c r="F6" s="102">
        <v>0.2</v>
      </c>
      <c r="G6" s="102">
        <v>0.2</v>
      </c>
      <c r="M6" s="102">
        <v>0.2</v>
      </c>
      <c r="N6" s="102">
        <v>0.2</v>
      </c>
      <c r="O6" s="102">
        <v>0.2</v>
      </c>
      <c r="P6" s="102">
        <v>0.2</v>
      </c>
      <c r="Q6" s="102">
        <v>0.2</v>
      </c>
      <c r="S6" s="48"/>
    </row>
    <row r="7" spans="1:19" ht="15.75" thickBot="1">
      <c r="A7" s="47"/>
      <c r="B7" s="78"/>
      <c r="C7" s="104"/>
      <c r="D7" s="104"/>
      <c r="E7" s="104"/>
      <c r="F7" s="104"/>
      <c r="G7" s="104"/>
      <c r="M7" s="78"/>
      <c r="N7" s="104"/>
      <c r="O7" s="104"/>
      <c r="P7" s="104"/>
      <c r="Q7" s="104"/>
      <c r="R7" s="104"/>
      <c r="S7" s="48"/>
    </row>
    <row r="8" spans="1:19" ht="45" customHeight="1" thickBot="1">
      <c r="A8" s="47"/>
      <c r="B8" s="108" t="s">
        <v>59</v>
      </c>
      <c r="C8" s="109" t="s">
        <v>60</v>
      </c>
      <c r="D8" s="114" t="s">
        <v>61</v>
      </c>
      <c r="E8" s="109" t="s">
        <v>70</v>
      </c>
      <c r="F8" s="109" t="s">
        <v>71</v>
      </c>
      <c r="G8" s="110" t="s">
        <v>72</v>
      </c>
      <c r="H8" s="112" t="s">
        <v>66</v>
      </c>
      <c r="I8" s="112" t="s">
        <v>67</v>
      </c>
      <c r="J8" s="112" t="s">
        <v>68</v>
      </c>
      <c r="K8" s="112" t="s">
        <v>69</v>
      </c>
      <c r="L8" s="111" t="s">
        <v>73</v>
      </c>
      <c r="M8" s="109" t="s">
        <v>62</v>
      </c>
      <c r="N8" s="114" t="s">
        <v>63</v>
      </c>
      <c r="O8" s="109" t="s">
        <v>75</v>
      </c>
      <c r="P8" s="114" t="s">
        <v>64</v>
      </c>
      <c r="Q8" s="109" t="s">
        <v>76</v>
      </c>
      <c r="R8" s="115" t="s">
        <v>65</v>
      </c>
      <c r="S8" s="48"/>
    </row>
    <row r="9" spans="1:19" ht="35.25" customHeight="1" thickBot="1">
      <c r="A9" s="47"/>
      <c r="B9" s="118" t="s">
        <v>304</v>
      </c>
      <c r="C9" s="105">
        <v>0.75</v>
      </c>
      <c r="D9" s="117">
        <v>0.73</v>
      </c>
      <c r="E9" s="160">
        <v>0.5</v>
      </c>
      <c r="F9" s="161">
        <v>0.4</v>
      </c>
      <c r="G9" s="106">
        <v>24</v>
      </c>
      <c r="H9" s="107">
        <f>IF(C9&gt;=C5,"100%",C9/C5)</f>
        <v>0.99337748344370858</v>
      </c>
      <c r="I9" s="107" t="str">
        <f t="shared" ref="I9:L9" si="0">IF(D9&gt;=D5,"100%",D9/D5)</f>
        <v>100%</v>
      </c>
      <c r="J9" s="107">
        <f t="shared" si="0"/>
        <v>0.55555555555555558</v>
      </c>
      <c r="K9" s="107">
        <f t="shared" si="0"/>
        <v>0.95238095238095244</v>
      </c>
      <c r="L9" s="113">
        <f t="shared" si="0"/>
        <v>0.96</v>
      </c>
      <c r="M9" s="119">
        <f>H9*M6</f>
        <v>0.19867549668874174</v>
      </c>
      <c r="N9" s="120">
        <f t="shared" ref="N9:Q9" si="1">I9*N6</f>
        <v>0.2</v>
      </c>
      <c r="O9" s="119">
        <f t="shared" si="1"/>
        <v>0.11111111111111112</v>
      </c>
      <c r="P9" s="120">
        <f t="shared" si="1"/>
        <v>0.19047619047619049</v>
      </c>
      <c r="Q9" s="119">
        <f t="shared" si="1"/>
        <v>0.192</v>
      </c>
      <c r="R9" s="116">
        <f>SUM(M9:Q9)</f>
        <v>0.89226279827604338</v>
      </c>
      <c r="S9" s="48"/>
    </row>
    <row r="10" spans="1:19" ht="8.25" customHeight="1" thickBot="1">
      <c r="A10" s="4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1"/>
    </row>
    <row r="11" spans="1:19" ht="4.5" customHeight="1" thickBot="1">
      <c r="A11" s="166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67"/>
    </row>
    <row r="12" spans="1:19" ht="6.75" customHeight="1" thickBot="1">
      <c r="A12" s="162"/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50"/>
    </row>
    <row r="13" spans="1:19" ht="15.75" thickBot="1">
      <c r="A13" s="47"/>
      <c r="B13" s="177" t="s">
        <v>84</v>
      </c>
      <c r="C13" s="178"/>
      <c r="D13" s="179"/>
      <c r="S13" s="48"/>
    </row>
    <row r="14" spans="1:19" ht="7.5" customHeight="1" thickBot="1">
      <c r="A14" s="47"/>
      <c r="S14" s="48"/>
    </row>
    <row r="15" spans="1:19" ht="24" customHeight="1" thickBot="1">
      <c r="A15" s="47"/>
      <c r="B15" s="131" t="s">
        <v>78</v>
      </c>
      <c r="C15" s="132" t="s">
        <v>79</v>
      </c>
      <c r="D15" s="133" t="s">
        <v>80</v>
      </c>
      <c r="E15" s="132" t="s">
        <v>81</v>
      </c>
      <c r="F15" s="134" t="s">
        <v>82</v>
      </c>
      <c r="H15" t="s">
        <v>85</v>
      </c>
      <c r="I15" t="s">
        <v>86</v>
      </c>
      <c r="S15" s="48"/>
    </row>
    <row r="16" spans="1:19" ht="27" customHeight="1" thickBot="1">
      <c r="A16" s="47"/>
      <c r="B16" s="126">
        <v>5</v>
      </c>
      <c r="C16" s="127">
        <v>2</v>
      </c>
      <c r="D16" s="128">
        <v>0</v>
      </c>
      <c r="E16" s="127">
        <f>SUM(B16:D16)</f>
        <v>7</v>
      </c>
      <c r="F16" s="130">
        <f>H16-I16</f>
        <v>0.4285714285714286</v>
      </c>
      <c r="H16" s="164">
        <f>B16/E16</f>
        <v>0.7142857142857143</v>
      </c>
      <c r="I16" s="165">
        <f>C16/E16</f>
        <v>0.2857142857142857</v>
      </c>
      <c r="S16" s="48"/>
    </row>
    <row r="17" spans="1:19" ht="7.5" customHeight="1" thickBot="1">
      <c r="A17" s="49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1"/>
    </row>
    <row r="18" spans="1:19" s="157" customFormat="1" ht="4.5" customHeight="1"/>
    <row r="19" spans="1:19" ht="6.75" customHeight="1" thickBot="1"/>
    <row r="20" spans="1:19" ht="208.5" customHeight="1" thickBot="1">
      <c r="B20" s="171" t="s">
        <v>77</v>
      </c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3"/>
      <c r="O20" s="129"/>
      <c r="P20" s="124"/>
      <c r="Q20" s="124"/>
      <c r="R20" s="125"/>
    </row>
    <row r="21" spans="1:19"/>
    <row r="22" spans="1:19"/>
  </sheetData>
  <mergeCells count="3">
    <mergeCell ref="B20:N20"/>
    <mergeCell ref="B3:D3"/>
    <mergeCell ref="B13:D13"/>
  </mergeCells>
  <conditionalFormatting sqref="B16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C9">
    <cfRule type="cellIs" dxfId="247" priority="23" operator="between">
      <formula>0.7</formula>
      <formula>0.7249</formula>
    </cfRule>
    <cfRule type="cellIs" dxfId="246" priority="24" operator="greaterThanOrEqual">
      <formula>0.725</formula>
    </cfRule>
  </conditionalFormatting>
  <conditionalFormatting sqref="C9:D9">
    <cfRule type="cellIs" dxfId="245" priority="9" operator="lessThanOrEqual">
      <formula>0.6999</formula>
    </cfRule>
  </conditionalFormatting>
  <conditionalFormatting sqref="D9">
    <cfRule type="cellIs" dxfId="244" priority="10" operator="between">
      <formula>0.7</formula>
      <formula>0.7299</formula>
    </cfRule>
    <cfRule type="cellIs" dxfId="243" priority="11" operator="greaterThanOrEqual">
      <formula>0.73</formula>
    </cfRule>
  </conditionalFormatting>
  <conditionalFormatting sqref="E9">
    <cfRule type="cellIs" dxfId="242" priority="19" operator="lessThanOrEqual">
      <formula>0.84</formula>
    </cfRule>
    <cfRule type="cellIs" dxfId="241" priority="20" operator="between">
      <formula>0.85</formula>
      <formula>0.89</formula>
    </cfRule>
    <cfRule type="cellIs" dxfId="240" priority="21" operator="greaterThanOrEqual">
      <formula>0.9</formula>
    </cfRule>
  </conditionalFormatting>
  <conditionalFormatting sqref="E16">
    <cfRule type="iconSet" priority="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F9">
    <cfRule type="cellIs" dxfId="239" priority="1" operator="lessThanOrEqual">
      <formula>0.3799</formula>
    </cfRule>
    <cfRule type="cellIs" dxfId="238" priority="2" operator="between">
      <formula>0.38</formula>
      <formula>0.3999</formula>
    </cfRule>
    <cfRule type="cellIs" dxfId="237" priority="3" operator="greaterThanOrEqual">
      <formula>0.4</formula>
    </cfRule>
  </conditionalFormatting>
  <conditionalFormatting sqref="F16">
    <cfRule type="iconSet" priority="8">
      <iconSet iconSet="3Symbols2">
        <cfvo type="percent" val="0"/>
        <cfvo type="num" val="0.35"/>
        <cfvo type="num" val="0.42"/>
      </iconSet>
    </cfRule>
  </conditionalFormatting>
  <conditionalFormatting sqref="G9:L9">
    <cfRule type="cellIs" dxfId="236" priority="13" operator="lessThanOrEqual">
      <formula>21</formula>
    </cfRule>
    <cfRule type="cellIs" dxfId="235" priority="14" operator="between">
      <formula>22</formula>
      <formula>24</formula>
    </cfRule>
    <cfRule type="cellIs" dxfId="234" priority="15" operator="greaterThanOrEqual">
      <formula>25</formula>
    </cfRule>
  </conditionalFormatting>
  <conditionalFormatting sqref="R9">
    <cfRule type="iconSet" priority="12">
      <iconSet iconSet="3Symbols">
        <cfvo type="percent" val="0"/>
        <cfvo type="num" val="0.9"/>
        <cfvo type="num" val="0.95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D52F425F-4311-4F06-9B85-EFE4AB56F897}">
            <x14:iconSet iconSet="3Arrow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Arrows" iconId="0"/>
              <x14:cfIcon iconSet="3Arrows" iconId="0"/>
            </x14:iconSet>
          </x14:cfRule>
          <xm:sqref>C16</xm:sqref>
        </x14:conditionalFormatting>
        <x14:conditionalFormatting xmlns:xm="http://schemas.microsoft.com/office/excel/2006/main">
          <x14:cfRule type="iconSet" priority="5" id="{BB0CF5AD-B2C1-422B-BEB9-D11715F36E72}">
            <x14:iconSet iconSet="3Arrow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1"/>
              <x14:cfIcon iconSet="3Arrows" iconId="1"/>
              <x14:cfIcon iconSet="3Arrows" iconId="1"/>
            </x14:iconSet>
          </x14:cfRule>
          <xm:sqref>D16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5FA9-36AC-459B-9241-E99A1F1DFA32}">
  <sheetPr>
    <tabColor theme="3" tint="0.499984740745262"/>
  </sheetPr>
  <dimension ref="A1:Y44"/>
  <sheetViews>
    <sheetView showGridLines="0" topLeftCell="C1" workbookViewId="0">
      <selection activeCell="B10" sqref="B10:D24"/>
    </sheetView>
  </sheetViews>
  <sheetFormatPr baseColWidth="10" defaultColWidth="0" defaultRowHeight="15" zeroHeight="1"/>
  <cols>
    <col min="1" max="1" width="1.42578125" customWidth="1"/>
    <col min="2" max="2" width="57.28515625" bestFit="1" customWidth="1"/>
    <col min="3" max="3" width="16.140625" bestFit="1" customWidth="1"/>
    <col min="4" max="4" width="17.5703125" bestFit="1" customWidth="1"/>
    <col min="5" max="5" width="2.28515625" customWidth="1"/>
    <col min="6" max="6" width="52.5703125" customWidth="1"/>
    <col min="7" max="7" width="19.42578125" customWidth="1"/>
    <col min="8" max="8" width="16" customWidth="1"/>
    <col min="9" max="9" width="2.5703125" customWidth="1"/>
    <col min="10" max="24" width="11.42578125" customWidth="1"/>
    <col min="25" max="25" width="3.5703125" customWidth="1"/>
    <col min="26" max="16384" width="11.42578125" hidden="1"/>
  </cols>
  <sheetData>
    <row r="1" spans="2:24" ht="15.75" thickBot="1"/>
    <row r="2" spans="2:24">
      <c r="C2" s="183" t="s">
        <v>214</v>
      </c>
      <c r="D2" s="184"/>
      <c r="G2" s="183" t="s">
        <v>214</v>
      </c>
      <c r="H2" s="184"/>
    </row>
    <row r="3" spans="2:24">
      <c r="C3" s="185"/>
      <c r="D3" s="186"/>
      <c r="G3" s="185"/>
      <c r="H3" s="186"/>
    </row>
    <row r="4" spans="2:24" ht="15.75" thickBot="1">
      <c r="B4" s="123" t="s">
        <v>56</v>
      </c>
      <c r="C4" s="187"/>
      <c r="D4" s="188"/>
      <c r="F4" s="123" t="s">
        <v>56</v>
      </c>
      <c r="G4" s="187"/>
      <c r="H4" s="188"/>
      <c r="J4" s="123" t="s">
        <v>56</v>
      </c>
    </row>
    <row r="5" spans="2:24">
      <c r="B5" s="151">
        <v>1008</v>
      </c>
      <c r="C5" s="121"/>
      <c r="D5" s="122"/>
      <c r="E5" s="121"/>
      <c r="F5" s="151">
        <v>1010</v>
      </c>
      <c r="J5" s="151">
        <v>1005</v>
      </c>
    </row>
    <row r="6" spans="2:24" ht="18.75">
      <c r="B6" s="135" t="s">
        <v>87</v>
      </c>
      <c r="C6" s="135" t="s">
        <v>88</v>
      </c>
      <c r="D6" s="136" t="s">
        <v>215</v>
      </c>
      <c r="F6" s="145" t="s">
        <v>87</v>
      </c>
      <c r="G6" s="135" t="s">
        <v>88</v>
      </c>
      <c r="H6" s="136" t="s">
        <v>215</v>
      </c>
      <c r="J6" s="189" t="s">
        <v>216</v>
      </c>
      <c r="K6" s="189"/>
      <c r="L6" s="121"/>
      <c r="M6" s="122"/>
      <c r="N6" s="121"/>
      <c r="O6" s="122"/>
      <c r="P6" s="121"/>
      <c r="Q6" s="122"/>
      <c r="R6" s="121"/>
      <c r="S6" s="122"/>
      <c r="T6" s="121"/>
      <c r="U6" s="122"/>
      <c r="V6" s="121"/>
      <c r="W6" s="122"/>
      <c r="X6" s="121"/>
    </row>
    <row r="7" spans="2:24" ht="18" customHeight="1">
      <c r="B7" s="137" t="s">
        <v>90</v>
      </c>
      <c r="C7" s="138">
        <v>136900</v>
      </c>
      <c r="D7" s="139" t="s">
        <v>91</v>
      </c>
      <c r="F7" s="146" t="s">
        <v>160</v>
      </c>
      <c r="G7" s="147">
        <v>136900</v>
      </c>
      <c r="H7" s="148" t="s">
        <v>161</v>
      </c>
      <c r="J7" s="182" t="s">
        <v>217</v>
      </c>
      <c r="K7" s="182"/>
      <c r="L7" s="182"/>
      <c r="M7" s="182"/>
      <c r="N7" s="182"/>
      <c r="O7" s="182"/>
      <c r="P7" s="182"/>
      <c r="Q7" s="182" t="s">
        <v>218</v>
      </c>
      <c r="R7" s="182"/>
      <c r="S7" s="182"/>
      <c r="T7" s="182"/>
      <c r="U7" s="182" t="s">
        <v>219</v>
      </c>
      <c r="V7" s="182"/>
      <c r="W7" s="182"/>
      <c r="X7" s="182"/>
    </row>
    <row r="8" spans="2:24" ht="18" customHeight="1">
      <c r="B8" s="137" t="s">
        <v>93</v>
      </c>
      <c r="C8" s="138">
        <v>136900</v>
      </c>
      <c r="D8" s="139" t="s">
        <v>94</v>
      </c>
      <c r="F8" s="146" t="s">
        <v>162</v>
      </c>
      <c r="G8" s="147">
        <v>136900</v>
      </c>
      <c r="H8" s="148" t="s">
        <v>163</v>
      </c>
      <c r="J8" s="180" t="s">
        <v>220</v>
      </c>
      <c r="K8" s="180"/>
      <c r="L8" s="180"/>
      <c r="M8" s="180" t="s">
        <v>221</v>
      </c>
      <c r="N8" s="180"/>
      <c r="O8" s="180" t="s">
        <v>222</v>
      </c>
      <c r="P8" s="180"/>
      <c r="Q8" s="180" t="s">
        <v>220</v>
      </c>
      <c r="R8" s="180"/>
      <c r="S8" s="180" t="s">
        <v>221</v>
      </c>
      <c r="T8" s="180"/>
      <c r="U8" s="180" t="s">
        <v>220</v>
      </c>
      <c r="V8" s="180"/>
      <c r="W8" s="180" t="s">
        <v>221</v>
      </c>
      <c r="X8" s="180"/>
    </row>
    <row r="9" spans="2:24" ht="18" customHeight="1">
      <c r="B9" s="137" t="s">
        <v>95</v>
      </c>
      <c r="C9" s="138">
        <v>136900</v>
      </c>
      <c r="D9" s="139" t="s">
        <v>96</v>
      </c>
      <c r="F9" s="146" t="s">
        <v>164</v>
      </c>
      <c r="G9" s="147">
        <v>136900</v>
      </c>
      <c r="H9" s="148" t="s">
        <v>165</v>
      </c>
      <c r="J9" s="153" t="s">
        <v>223</v>
      </c>
      <c r="K9" s="152" t="s">
        <v>224</v>
      </c>
      <c r="L9" s="154" t="s">
        <v>225</v>
      </c>
      <c r="M9" s="152" t="s">
        <v>224</v>
      </c>
      <c r="N9" s="154" t="s">
        <v>225</v>
      </c>
      <c r="O9" s="152" t="s">
        <v>224</v>
      </c>
      <c r="P9" s="154" t="s">
        <v>225</v>
      </c>
      <c r="Q9" s="152" t="s">
        <v>224</v>
      </c>
      <c r="R9" s="154" t="s">
        <v>225</v>
      </c>
      <c r="S9" s="152" t="s">
        <v>224</v>
      </c>
      <c r="T9" s="154" t="s">
        <v>225</v>
      </c>
      <c r="U9" s="152" t="s">
        <v>224</v>
      </c>
      <c r="V9" s="154" t="s">
        <v>225</v>
      </c>
      <c r="W9" s="152" t="s">
        <v>224</v>
      </c>
      <c r="X9" s="154" t="s">
        <v>225</v>
      </c>
    </row>
    <row r="10" spans="2:24" ht="18" customHeight="1">
      <c r="B10" s="137" t="s">
        <v>97</v>
      </c>
      <c r="C10" s="138">
        <v>136900</v>
      </c>
      <c r="D10" s="139" t="s">
        <v>98</v>
      </c>
      <c r="F10" s="146" t="s">
        <v>166</v>
      </c>
      <c r="G10" s="147">
        <v>136900</v>
      </c>
      <c r="H10" s="148" t="s">
        <v>167</v>
      </c>
      <c r="J10" s="139">
        <v>1</v>
      </c>
      <c r="K10" s="139" t="s">
        <v>226</v>
      </c>
      <c r="L10" s="155">
        <v>63900</v>
      </c>
      <c r="M10" s="139" t="s">
        <v>227</v>
      </c>
      <c r="N10" s="155">
        <v>54900</v>
      </c>
      <c r="O10" s="139" t="s">
        <v>228</v>
      </c>
      <c r="P10" s="155">
        <v>65900</v>
      </c>
      <c r="Q10" s="139" t="s">
        <v>229</v>
      </c>
      <c r="R10" s="155">
        <v>73900</v>
      </c>
      <c r="S10" s="139" t="s">
        <v>230</v>
      </c>
      <c r="T10" s="155">
        <v>62900</v>
      </c>
      <c r="U10" s="139" t="s">
        <v>231</v>
      </c>
      <c r="V10" s="155">
        <v>81900</v>
      </c>
      <c r="W10" s="139" t="s">
        <v>232</v>
      </c>
      <c r="X10" s="155">
        <v>69900</v>
      </c>
    </row>
    <row r="11" spans="2:24" ht="18" customHeight="1">
      <c r="B11" s="137" t="s">
        <v>99</v>
      </c>
      <c r="C11" s="138">
        <v>121900</v>
      </c>
      <c r="D11" s="139" t="s">
        <v>100</v>
      </c>
      <c r="F11" s="146" t="s">
        <v>168</v>
      </c>
      <c r="G11" s="147">
        <v>121900</v>
      </c>
      <c r="H11" s="148" t="s">
        <v>169</v>
      </c>
      <c r="J11" s="139">
        <v>2</v>
      </c>
      <c r="K11" s="139" t="s">
        <v>233</v>
      </c>
      <c r="L11" s="155">
        <v>63900</v>
      </c>
      <c r="M11" s="139" t="s">
        <v>234</v>
      </c>
      <c r="N11" s="155">
        <v>54900</v>
      </c>
      <c r="O11" s="139" t="s">
        <v>235</v>
      </c>
      <c r="P11" s="155">
        <v>65900</v>
      </c>
      <c r="Q11" s="139" t="s">
        <v>236</v>
      </c>
      <c r="R11" s="155">
        <v>73900</v>
      </c>
      <c r="S11" s="139" t="s">
        <v>237</v>
      </c>
      <c r="T11" s="155">
        <v>62900</v>
      </c>
      <c r="U11" s="139" t="s">
        <v>238</v>
      </c>
      <c r="V11" s="155">
        <v>81900</v>
      </c>
      <c r="W11" s="139" t="s">
        <v>239</v>
      </c>
      <c r="X11" s="155">
        <v>69900</v>
      </c>
    </row>
    <row r="12" spans="2:24" ht="18" customHeight="1">
      <c r="B12" s="137" t="s">
        <v>101</v>
      </c>
      <c r="C12" s="138">
        <v>121900</v>
      </c>
      <c r="D12" s="139" t="s">
        <v>102</v>
      </c>
      <c r="F12" s="146" t="s">
        <v>170</v>
      </c>
      <c r="G12" s="147">
        <v>121900</v>
      </c>
      <c r="H12" s="148" t="s">
        <v>171</v>
      </c>
      <c r="J12" s="139">
        <v>3</v>
      </c>
      <c r="K12" s="139" t="s">
        <v>240</v>
      </c>
      <c r="L12" s="155">
        <v>63900</v>
      </c>
      <c r="M12" s="139" t="s">
        <v>241</v>
      </c>
      <c r="N12" s="155">
        <v>54900</v>
      </c>
      <c r="O12" s="139" t="s">
        <v>242</v>
      </c>
      <c r="P12" s="155">
        <v>65900</v>
      </c>
      <c r="Q12" s="139" t="s">
        <v>243</v>
      </c>
      <c r="R12" s="155">
        <v>73900</v>
      </c>
      <c r="S12" s="139" t="s">
        <v>244</v>
      </c>
      <c r="T12" s="155">
        <v>62900</v>
      </c>
      <c r="U12" s="139" t="s">
        <v>245</v>
      </c>
      <c r="V12" s="155">
        <v>81900</v>
      </c>
      <c r="W12" s="139" t="s">
        <v>246</v>
      </c>
      <c r="X12" s="155">
        <v>69900</v>
      </c>
    </row>
    <row r="13" spans="2:24" ht="18" customHeight="1">
      <c r="B13" s="137" t="s">
        <v>103</v>
      </c>
      <c r="C13" s="138">
        <v>121900</v>
      </c>
      <c r="D13" s="139" t="s">
        <v>104</v>
      </c>
      <c r="F13" s="146" t="s">
        <v>172</v>
      </c>
      <c r="G13" s="147">
        <v>121900</v>
      </c>
      <c r="H13" s="148" t="s">
        <v>173</v>
      </c>
      <c r="J13" s="139">
        <v>4</v>
      </c>
      <c r="K13" s="139" t="s">
        <v>247</v>
      </c>
      <c r="L13" s="155">
        <v>63900</v>
      </c>
      <c r="M13" s="139" t="s">
        <v>248</v>
      </c>
      <c r="N13" s="155">
        <v>54900</v>
      </c>
      <c r="O13" s="139" t="s">
        <v>249</v>
      </c>
      <c r="P13" s="155">
        <v>65900</v>
      </c>
      <c r="Q13" s="139" t="s">
        <v>250</v>
      </c>
      <c r="R13" s="155">
        <v>73900</v>
      </c>
      <c r="S13" s="139" t="s">
        <v>251</v>
      </c>
      <c r="T13" s="155">
        <v>62900</v>
      </c>
      <c r="U13" s="139" t="s">
        <v>252</v>
      </c>
      <c r="V13" s="155">
        <v>81900</v>
      </c>
      <c r="W13" s="139" t="s">
        <v>253</v>
      </c>
      <c r="X13" s="155">
        <v>69900</v>
      </c>
    </row>
    <row r="14" spans="2:24" ht="18" customHeight="1">
      <c r="B14" s="137" t="s">
        <v>105</v>
      </c>
      <c r="C14" s="138">
        <v>121900</v>
      </c>
      <c r="D14" s="139" t="s">
        <v>106</v>
      </c>
      <c r="F14" s="146" t="s">
        <v>174</v>
      </c>
      <c r="G14" s="147">
        <v>121900</v>
      </c>
      <c r="H14" s="148" t="s">
        <v>175</v>
      </c>
      <c r="J14" s="139">
        <v>5</v>
      </c>
      <c r="K14" s="139" t="s">
        <v>254</v>
      </c>
      <c r="L14" s="155">
        <v>63900</v>
      </c>
      <c r="M14" s="139" t="s">
        <v>255</v>
      </c>
      <c r="N14" s="155">
        <v>54900</v>
      </c>
      <c r="O14" s="139" t="s">
        <v>256</v>
      </c>
      <c r="P14" s="155">
        <v>65900</v>
      </c>
      <c r="Q14" s="139" t="s">
        <v>257</v>
      </c>
      <c r="R14" s="155">
        <v>73900</v>
      </c>
      <c r="S14" s="139" t="s">
        <v>258</v>
      </c>
      <c r="T14" s="155">
        <v>62900</v>
      </c>
      <c r="U14" s="139" t="s">
        <v>259</v>
      </c>
      <c r="V14" s="155">
        <v>81900</v>
      </c>
      <c r="W14" s="139" t="s">
        <v>260</v>
      </c>
      <c r="X14" s="155">
        <v>69900</v>
      </c>
    </row>
    <row r="15" spans="2:24" ht="18" customHeight="1">
      <c r="B15" s="137" t="s">
        <v>107</v>
      </c>
      <c r="C15" s="138">
        <v>116900</v>
      </c>
      <c r="D15" s="139" t="s">
        <v>108</v>
      </c>
      <c r="F15" s="146" t="s">
        <v>176</v>
      </c>
      <c r="G15" s="147">
        <v>116900</v>
      </c>
      <c r="H15" s="148" t="s">
        <v>177</v>
      </c>
      <c r="J15" s="139">
        <v>6</v>
      </c>
      <c r="K15" s="139" t="s">
        <v>261</v>
      </c>
      <c r="L15" s="155">
        <v>63900</v>
      </c>
      <c r="M15" s="139" t="s">
        <v>262</v>
      </c>
      <c r="N15" s="155">
        <v>54900</v>
      </c>
      <c r="O15" s="139" t="s">
        <v>263</v>
      </c>
      <c r="P15" s="155">
        <v>65900</v>
      </c>
      <c r="Q15" s="139" t="s">
        <v>264</v>
      </c>
      <c r="R15" s="155">
        <v>73900</v>
      </c>
      <c r="S15" s="139" t="s">
        <v>265</v>
      </c>
      <c r="T15" s="155">
        <v>62900</v>
      </c>
      <c r="U15" s="139" t="s">
        <v>266</v>
      </c>
      <c r="V15" s="155">
        <v>81900</v>
      </c>
      <c r="W15" s="139" t="s">
        <v>267</v>
      </c>
      <c r="X15" s="155">
        <v>69900</v>
      </c>
    </row>
    <row r="16" spans="2:24" ht="18" customHeight="1">
      <c r="B16" s="137" t="s">
        <v>109</v>
      </c>
      <c r="C16" s="138">
        <v>116900</v>
      </c>
      <c r="D16" s="139" t="s">
        <v>110</v>
      </c>
      <c r="F16" s="146" t="s">
        <v>178</v>
      </c>
      <c r="G16" s="147">
        <v>116900</v>
      </c>
      <c r="H16" s="148" t="s">
        <v>179</v>
      </c>
      <c r="J16" s="122"/>
      <c r="K16" s="122"/>
      <c r="L16" s="121"/>
      <c r="M16" s="122"/>
      <c r="N16" s="121"/>
      <c r="O16" s="122"/>
      <c r="P16" s="121"/>
      <c r="Q16" s="122"/>
      <c r="R16" s="121"/>
      <c r="S16" s="122"/>
      <c r="T16" s="121"/>
      <c r="U16" s="122"/>
      <c r="V16" s="121"/>
      <c r="W16" s="122"/>
      <c r="X16" s="121"/>
    </row>
    <row r="17" spans="2:24" ht="18" customHeight="1">
      <c r="B17" s="137" t="s">
        <v>111</v>
      </c>
      <c r="C17" s="138">
        <v>116900</v>
      </c>
      <c r="D17" s="139" t="s">
        <v>112</v>
      </c>
      <c r="F17" s="146" t="s">
        <v>180</v>
      </c>
      <c r="G17" s="147">
        <v>116900</v>
      </c>
      <c r="H17" s="148" t="s">
        <v>181</v>
      </c>
      <c r="J17" s="181" t="s">
        <v>268</v>
      </c>
      <c r="K17" s="181"/>
      <c r="L17" s="121"/>
      <c r="M17" s="122"/>
      <c r="N17" s="121"/>
      <c r="O17" s="122"/>
      <c r="P17" s="121"/>
      <c r="Q17" s="122"/>
      <c r="R17" s="121"/>
      <c r="S17" s="122"/>
      <c r="T17" s="121"/>
      <c r="U17" s="122"/>
      <c r="V17" s="121"/>
      <c r="W17" s="122"/>
      <c r="X17" s="121"/>
    </row>
    <row r="18" spans="2:24" ht="18" customHeight="1">
      <c r="B18" s="137" t="s">
        <v>113</v>
      </c>
      <c r="C18" s="138">
        <v>111900</v>
      </c>
      <c r="D18" s="139" t="s">
        <v>114</v>
      </c>
      <c r="F18" s="146" t="s">
        <v>182</v>
      </c>
      <c r="G18" s="147">
        <v>111900</v>
      </c>
      <c r="H18" s="148" t="s">
        <v>183</v>
      </c>
      <c r="J18" s="180" t="s">
        <v>269</v>
      </c>
      <c r="K18" s="180"/>
      <c r="L18" s="180"/>
      <c r="M18" s="180"/>
      <c r="N18" s="180"/>
      <c r="O18" s="180"/>
      <c r="P18" s="180"/>
      <c r="Q18" s="180" t="s">
        <v>219</v>
      </c>
      <c r="R18" s="180"/>
      <c r="S18" s="180"/>
      <c r="T18" s="180"/>
      <c r="U18" s="122"/>
      <c r="V18" s="121"/>
      <c r="W18" s="122"/>
      <c r="X18" s="121"/>
    </row>
    <row r="19" spans="2:24" ht="18" customHeight="1">
      <c r="B19" s="137" t="s">
        <v>115</v>
      </c>
      <c r="C19" s="138">
        <v>111900</v>
      </c>
      <c r="D19" s="139" t="s">
        <v>116</v>
      </c>
      <c r="F19" s="146" t="s">
        <v>184</v>
      </c>
      <c r="G19" s="147">
        <v>111900</v>
      </c>
      <c r="H19" s="148" t="s">
        <v>185</v>
      </c>
      <c r="J19" s="182" t="s">
        <v>220</v>
      </c>
      <c r="K19" s="182"/>
      <c r="L19" s="182"/>
      <c r="M19" s="182" t="s">
        <v>221</v>
      </c>
      <c r="N19" s="182"/>
      <c r="O19" s="180" t="s">
        <v>222</v>
      </c>
      <c r="P19" s="180"/>
      <c r="Q19" s="182" t="s">
        <v>220</v>
      </c>
      <c r="R19" s="182"/>
      <c r="S19" s="182" t="s">
        <v>221</v>
      </c>
      <c r="T19" s="182"/>
      <c r="U19" s="122"/>
      <c r="V19" s="121"/>
      <c r="W19" s="122"/>
      <c r="X19" s="121"/>
    </row>
    <row r="20" spans="2:24" ht="18" customHeight="1">
      <c r="B20" s="137" t="s">
        <v>117</v>
      </c>
      <c r="C20" s="138">
        <v>111900</v>
      </c>
      <c r="D20" s="139" t="s">
        <v>118</v>
      </c>
      <c r="F20" s="146" t="s">
        <v>186</v>
      </c>
      <c r="G20" s="147">
        <v>111900</v>
      </c>
      <c r="H20" s="148" t="s">
        <v>187</v>
      </c>
      <c r="J20" s="153" t="s">
        <v>223</v>
      </c>
      <c r="K20" s="152" t="s">
        <v>224</v>
      </c>
      <c r="L20" s="154" t="s">
        <v>225</v>
      </c>
      <c r="M20" s="152" t="s">
        <v>224</v>
      </c>
      <c r="N20" s="154" t="s">
        <v>225</v>
      </c>
      <c r="O20" s="152" t="s">
        <v>224</v>
      </c>
      <c r="P20" s="154" t="s">
        <v>225</v>
      </c>
      <c r="Q20" s="152" t="s">
        <v>224</v>
      </c>
      <c r="R20" s="154" t="s">
        <v>225</v>
      </c>
      <c r="S20" s="152" t="s">
        <v>224</v>
      </c>
      <c r="T20" s="154" t="s">
        <v>225</v>
      </c>
      <c r="U20" s="122"/>
      <c r="V20" s="121"/>
      <c r="W20" s="122"/>
      <c r="X20" s="121"/>
    </row>
    <row r="21" spans="2:24" ht="18" customHeight="1">
      <c r="B21" s="137" t="s">
        <v>119</v>
      </c>
      <c r="C21" s="138">
        <v>109900</v>
      </c>
      <c r="D21" s="139" t="s">
        <v>120</v>
      </c>
      <c r="F21" s="146" t="s">
        <v>188</v>
      </c>
      <c r="G21" s="147">
        <v>109900</v>
      </c>
      <c r="H21" s="148" t="s">
        <v>189</v>
      </c>
      <c r="J21" s="139">
        <v>1</v>
      </c>
      <c r="K21" s="139" t="s">
        <v>270</v>
      </c>
      <c r="L21" s="155">
        <v>63900</v>
      </c>
      <c r="M21" s="139" t="s">
        <v>271</v>
      </c>
      <c r="N21" s="155">
        <v>54900</v>
      </c>
      <c r="O21" s="139" t="s">
        <v>272</v>
      </c>
      <c r="P21" s="155">
        <v>65900</v>
      </c>
      <c r="Q21" s="139" t="s">
        <v>273</v>
      </c>
      <c r="R21" s="155">
        <v>73900</v>
      </c>
      <c r="S21" s="139" t="s">
        <v>274</v>
      </c>
      <c r="T21" s="155">
        <v>62900</v>
      </c>
      <c r="U21" s="122"/>
      <c r="V21" s="121"/>
      <c r="W21" s="122"/>
      <c r="X21" s="121"/>
    </row>
    <row r="22" spans="2:24" ht="18" customHeight="1">
      <c r="B22" s="137" t="s">
        <v>121</v>
      </c>
      <c r="C22" s="138">
        <v>109900</v>
      </c>
      <c r="D22" s="139" t="s">
        <v>122</v>
      </c>
      <c r="F22" s="146" t="s">
        <v>190</v>
      </c>
      <c r="G22" s="147">
        <v>109900</v>
      </c>
      <c r="H22" s="148" t="s">
        <v>191</v>
      </c>
      <c r="J22" s="139">
        <v>2</v>
      </c>
      <c r="K22" s="139" t="s">
        <v>275</v>
      </c>
      <c r="L22" s="155">
        <v>63900</v>
      </c>
      <c r="M22" s="139" t="s">
        <v>276</v>
      </c>
      <c r="N22" s="155">
        <v>54900</v>
      </c>
      <c r="O22" s="139" t="s">
        <v>277</v>
      </c>
      <c r="P22" s="155">
        <v>65900</v>
      </c>
      <c r="Q22" s="139" t="s">
        <v>278</v>
      </c>
      <c r="R22" s="155">
        <v>73900</v>
      </c>
      <c r="S22" s="139" t="s">
        <v>279</v>
      </c>
      <c r="T22" s="155">
        <v>62900</v>
      </c>
      <c r="U22" s="122"/>
      <c r="V22" s="121"/>
      <c r="W22" s="122"/>
      <c r="X22" s="121"/>
    </row>
    <row r="23" spans="2:24" ht="18" customHeight="1">
      <c r="B23" s="137" t="s">
        <v>123</v>
      </c>
      <c r="C23" s="138">
        <v>109900</v>
      </c>
      <c r="D23" s="139" t="s">
        <v>124</v>
      </c>
      <c r="F23" s="146" t="s">
        <v>192</v>
      </c>
      <c r="G23" s="147">
        <v>109900</v>
      </c>
      <c r="H23" s="148" t="s">
        <v>193</v>
      </c>
      <c r="J23" s="139">
        <v>3</v>
      </c>
      <c r="K23" s="139" t="s">
        <v>280</v>
      </c>
      <c r="L23" s="155">
        <v>63900</v>
      </c>
      <c r="M23" s="139" t="s">
        <v>281</v>
      </c>
      <c r="N23" s="155">
        <v>54900</v>
      </c>
      <c r="O23" s="139" t="s">
        <v>282</v>
      </c>
      <c r="P23" s="155">
        <v>65900</v>
      </c>
      <c r="Q23" s="139" t="s">
        <v>283</v>
      </c>
      <c r="R23" s="155">
        <v>73900</v>
      </c>
      <c r="S23" s="139" t="s">
        <v>284</v>
      </c>
      <c r="T23" s="155">
        <v>62900</v>
      </c>
      <c r="U23" s="122"/>
      <c r="V23" s="121"/>
      <c r="W23" s="122"/>
      <c r="X23" s="121"/>
    </row>
    <row r="24" spans="2:24" ht="18" customHeight="1">
      <c r="B24" s="137" t="s">
        <v>125</v>
      </c>
      <c r="C24" s="138">
        <v>109900</v>
      </c>
      <c r="D24" s="139" t="s">
        <v>126</v>
      </c>
      <c r="F24" s="146" t="s">
        <v>194</v>
      </c>
      <c r="G24" s="147">
        <v>109900</v>
      </c>
      <c r="H24" s="148" t="s">
        <v>195</v>
      </c>
      <c r="J24" s="139">
        <v>4</v>
      </c>
      <c r="K24" s="139" t="s">
        <v>285</v>
      </c>
      <c r="L24" s="155">
        <v>63900</v>
      </c>
      <c r="M24" s="139" t="s">
        <v>286</v>
      </c>
      <c r="N24" s="155">
        <v>54900</v>
      </c>
      <c r="O24" s="139" t="s">
        <v>287</v>
      </c>
      <c r="P24" s="155">
        <v>65900</v>
      </c>
      <c r="Q24" s="139" t="s">
        <v>288</v>
      </c>
      <c r="R24" s="155">
        <v>73900</v>
      </c>
      <c r="S24" s="139" t="s">
        <v>289</v>
      </c>
      <c r="T24" s="155">
        <v>62900</v>
      </c>
      <c r="U24" s="122"/>
      <c r="V24" s="121"/>
      <c r="W24" s="122"/>
      <c r="X24" s="121"/>
    </row>
    <row r="25" spans="2:24" ht="18" customHeight="1">
      <c r="B25" s="137" t="s">
        <v>127</v>
      </c>
      <c r="C25" s="138">
        <v>104900</v>
      </c>
      <c r="D25" s="139" t="s">
        <v>128</v>
      </c>
      <c r="F25" s="146" t="s">
        <v>196</v>
      </c>
      <c r="G25" s="147">
        <v>104900</v>
      </c>
      <c r="H25" s="148" t="s">
        <v>197</v>
      </c>
      <c r="J25" s="139">
        <v>5</v>
      </c>
      <c r="K25" s="139" t="s">
        <v>290</v>
      </c>
      <c r="L25" s="155">
        <v>63900</v>
      </c>
      <c r="M25" s="139" t="s">
        <v>291</v>
      </c>
      <c r="N25" s="155">
        <v>54900</v>
      </c>
      <c r="O25" s="139" t="s">
        <v>292</v>
      </c>
      <c r="P25" s="155">
        <v>65900</v>
      </c>
      <c r="Q25" s="139" t="s">
        <v>293</v>
      </c>
      <c r="R25" s="155">
        <v>73900</v>
      </c>
      <c r="S25" s="139" t="s">
        <v>294</v>
      </c>
      <c r="T25" s="155">
        <v>62900</v>
      </c>
      <c r="U25" s="122"/>
      <c r="V25" s="121"/>
      <c r="W25" s="122"/>
      <c r="X25" s="121"/>
    </row>
    <row r="26" spans="2:24" ht="18" customHeight="1">
      <c r="B26" s="137" t="s">
        <v>129</v>
      </c>
      <c r="C26" s="138">
        <v>99900</v>
      </c>
      <c r="D26" s="139" t="s">
        <v>130</v>
      </c>
      <c r="F26" s="146" t="s">
        <v>198</v>
      </c>
      <c r="G26" s="147">
        <v>99900</v>
      </c>
      <c r="H26" s="148" t="s">
        <v>199</v>
      </c>
      <c r="J26" s="139">
        <v>6</v>
      </c>
      <c r="K26" s="139" t="s">
        <v>295</v>
      </c>
      <c r="L26" s="155">
        <v>63900</v>
      </c>
      <c r="M26" s="139" t="s">
        <v>296</v>
      </c>
      <c r="N26" s="155">
        <v>54900</v>
      </c>
      <c r="O26" s="139" t="s">
        <v>297</v>
      </c>
      <c r="P26" s="155">
        <v>65900</v>
      </c>
      <c r="Q26" s="139" t="s">
        <v>298</v>
      </c>
      <c r="R26" s="155">
        <v>73900</v>
      </c>
      <c r="S26" s="139" t="s">
        <v>299</v>
      </c>
      <c r="T26" s="155">
        <v>62900</v>
      </c>
      <c r="U26" s="122"/>
      <c r="V26" s="121"/>
      <c r="W26" s="122"/>
      <c r="X26" s="121"/>
    </row>
    <row r="27" spans="2:24" ht="18" customHeight="1">
      <c r="B27" s="137" t="s">
        <v>131</v>
      </c>
      <c r="C27" s="138">
        <v>99900</v>
      </c>
      <c r="D27" s="139" t="s">
        <v>132</v>
      </c>
      <c r="F27" s="146" t="s">
        <v>200</v>
      </c>
      <c r="G27" s="147">
        <v>99900</v>
      </c>
      <c r="H27" s="148" t="s">
        <v>201</v>
      </c>
    </row>
    <row r="28" spans="2:24" ht="18" customHeight="1">
      <c r="B28" s="137" t="s">
        <v>133</v>
      </c>
      <c r="C28" s="138">
        <v>99900</v>
      </c>
      <c r="D28" s="139" t="s">
        <v>134</v>
      </c>
      <c r="F28" s="146" t="s">
        <v>202</v>
      </c>
      <c r="G28" s="147">
        <v>99900</v>
      </c>
      <c r="H28" s="148" t="s">
        <v>203</v>
      </c>
    </row>
    <row r="29" spans="2:24" ht="18" customHeight="1">
      <c r="B29" s="137" t="s">
        <v>135</v>
      </c>
      <c r="C29" s="138">
        <v>99900</v>
      </c>
      <c r="D29" s="139" t="s">
        <v>136</v>
      </c>
      <c r="F29" s="146" t="s">
        <v>204</v>
      </c>
      <c r="G29" s="147">
        <v>99900</v>
      </c>
      <c r="H29" s="148" t="s">
        <v>205</v>
      </c>
    </row>
    <row r="30" spans="2:24">
      <c r="B30" s="137" t="s">
        <v>137</v>
      </c>
      <c r="C30" s="138">
        <v>99900</v>
      </c>
      <c r="D30" s="139" t="s">
        <v>138</v>
      </c>
      <c r="F30" s="146" t="s">
        <v>206</v>
      </c>
      <c r="G30" s="147">
        <v>99900</v>
      </c>
      <c r="H30" s="148" t="s">
        <v>207</v>
      </c>
    </row>
    <row r="31" spans="2:24">
      <c r="B31" s="137" t="s">
        <v>303</v>
      </c>
      <c r="C31" s="138">
        <v>79900</v>
      </c>
      <c r="D31" s="139" t="s">
        <v>139</v>
      </c>
      <c r="F31" s="146" t="s">
        <v>208</v>
      </c>
      <c r="G31" s="147">
        <v>79900</v>
      </c>
      <c r="H31" s="148" t="s">
        <v>209</v>
      </c>
    </row>
    <row r="32" spans="2:24">
      <c r="B32" s="121"/>
      <c r="C32" s="143"/>
      <c r="D32" s="122"/>
      <c r="F32" s="121"/>
      <c r="G32" s="143"/>
      <c r="H32" s="122"/>
    </row>
    <row r="33" spans="2:8" ht="15.75">
      <c r="B33" s="135" t="s">
        <v>140</v>
      </c>
      <c r="C33" s="144" t="s">
        <v>88</v>
      </c>
      <c r="D33" s="136" t="s">
        <v>89</v>
      </c>
      <c r="F33" s="145" t="s">
        <v>140</v>
      </c>
      <c r="G33" s="144" t="s">
        <v>88</v>
      </c>
      <c r="H33" s="136" t="s">
        <v>89</v>
      </c>
    </row>
    <row r="34" spans="2:8">
      <c r="B34" s="140" t="s">
        <v>141</v>
      </c>
      <c r="C34" s="141">
        <v>79900</v>
      </c>
      <c r="D34" s="142" t="s">
        <v>92</v>
      </c>
      <c r="F34" s="156" t="s">
        <v>300</v>
      </c>
      <c r="G34" s="149">
        <v>79900</v>
      </c>
      <c r="H34" s="142" t="s">
        <v>92</v>
      </c>
    </row>
    <row r="35" spans="2:8">
      <c r="B35" s="121"/>
      <c r="C35" s="143"/>
      <c r="D35" s="122"/>
      <c r="F35" s="121"/>
      <c r="G35" s="143"/>
      <c r="H35" s="122"/>
    </row>
    <row r="36" spans="2:8">
      <c r="B36" s="121"/>
      <c r="C36" s="143"/>
      <c r="D36" s="122"/>
    </row>
    <row r="37" spans="2:8">
      <c r="B37" s="135" t="s">
        <v>142</v>
      </c>
      <c r="C37" s="144" t="s">
        <v>143</v>
      </c>
      <c r="D37" s="136" t="s">
        <v>144</v>
      </c>
      <c r="F37" s="135" t="s">
        <v>142</v>
      </c>
      <c r="G37" s="144" t="s">
        <v>143</v>
      </c>
      <c r="H37" s="136" t="s">
        <v>144</v>
      </c>
    </row>
    <row r="38" spans="2:8">
      <c r="B38" s="137" t="s">
        <v>145</v>
      </c>
      <c r="C38" s="138" t="s">
        <v>146</v>
      </c>
      <c r="D38" s="139" t="s">
        <v>147</v>
      </c>
      <c r="F38" s="137" t="s">
        <v>210</v>
      </c>
      <c r="G38" s="147">
        <v>74900</v>
      </c>
      <c r="H38" s="139" t="s">
        <v>211</v>
      </c>
    </row>
    <row r="39" spans="2:8">
      <c r="B39" s="137" t="s">
        <v>148</v>
      </c>
      <c r="C39" s="138" t="s">
        <v>149</v>
      </c>
      <c r="D39" s="139" t="s">
        <v>150</v>
      </c>
      <c r="F39" s="137" t="s">
        <v>212</v>
      </c>
      <c r="G39" s="147">
        <v>52900</v>
      </c>
      <c r="H39" s="139" t="s">
        <v>213</v>
      </c>
    </row>
    <row r="40" spans="2:8">
      <c r="B40" s="137" t="s">
        <v>151</v>
      </c>
      <c r="C40" s="138" t="s">
        <v>152</v>
      </c>
      <c r="D40" s="139" t="s">
        <v>153</v>
      </c>
      <c r="F40" s="121"/>
      <c r="G40" s="143"/>
      <c r="H40" s="122"/>
    </row>
    <row r="41" spans="2:8">
      <c r="B41" s="137" t="s">
        <v>154</v>
      </c>
      <c r="C41" s="138" t="s">
        <v>155</v>
      </c>
      <c r="D41" s="139" t="s">
        <v>156</v>
      </c>
      <c r="F41" s="121"/>
      <c r="G41" s="143"/>
      <c r="H41" s="122"/>
    </row>
    <row r="42" spans="2:8">
      <c r="B42" s="137" t="s">
        <v>157</v>
      </c>
      <c r="C42" s="138" t="s">
        <v>158</v>
      </c>
      <c r="D42" s="139" t="s">
        <v>159</v>
      </c>
    </row>
    <row r="43" spans="2:8"/>
    <row r="44" spans="2:8"/>
  </sheetData>
  <mergeCells count="21">
    <mergeCell ref="U7:X7"/>
    <mergeCell ref="C2:D4"/>
    <mergeCell ref="G2:H4"/>
    <mergeCell ref="J6:K6"/>
    <mergeCell ref="J7:P7"/>
    <mergeCell ref="Q7:T7"/>
    <mergeCell ref="W8:X8"/>
    <mergeCell ref="J17:K17"/>
    <mergeCell ref="J18:P18"/>
    <mergeCell ref="Q18:T18"/>
    <mergeCell ref="J19:L19"/>
    <mergeCell ref="M19:N19"/>
    <mergeCell ref="O19:P19"/>
    <mergeCell ref="Q19:R19"/>
    <mergeCell ref="S19:T19"/>
    <mergeCell ref="J8:L8"/>
    <mergeCell ref="M8:N8"/>
    <mergeCell ref="O8:P8"/>
    <mergeCell ref="Q8:R8"/>
    <mergeCell ref="S8:T8"/>
    <mergeCell ref="U8:V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53AB-D06C-419A-8AE6-E883A3F39E84}">
  <dimension ref="A1:ACB36"/>
  <sheetViews>
    <sheetView showGridLines="0" zoomScale="70" zoomScaleNormal="70" workbookViewId="0">
      <selection activeCell="D3" sqref="D3"/>
    </sheetView>
  </sheetViews>
  <sheetFormatPr baseColWidth="10" defaultColWidth="11.42578125" defaultRowHeight="15" zeroHeight="1"/>
  <cols>
    <col min="1" max="1" width="3.42578125" customWidth="1"/>
    <col min="2" max="2" width="20.7109375" customWidth="1"/>
    <col min="3" max="3" width="21.28515625" customWidth="1"/>
    <col min="4" max="4" width="19.28515625" customWidth="1"/>
    <col min="5" max="5" width="27.7109375" customWidth="1"/>
    <col min="6" max="6" width="20.140625" customWidth="1"/>
    <col min="7" max="7" width="17.28515625" customWidth="1"/>
    <col min="8" max="8" width="18" customWidth="1"/>
    <col min="9" max="9" width="17.7109375" customWidth="1"/>
    <col min="10" max="10" width="21.28515625" customWidth="1"/>
    <col min="11" max="11" width="17.140625" customWidth="1"/>
    <col min="12" max="12" width="19.5703125" customWidth="1"/>
    <col min="13" max="13" width="20.28515625" customWidth="1"/>
    <col min="14" max="14" width="19.140625" customWidth="1"/>
    <col min="15" max="16" width="11.42578125" customWidth="1"/>
    <col min="17" max="20" width="11.42578125" hidden="1" customWidth="1"/>
    <col min="21" max="756" width="11.42578125" hidden="1"/>
  </cols>
  <sheetData>
    <row r="1" spans="1:20" ht="15.75" thickBot="1"/>
    <row r="2" spans="1:20" ht="45.75" customHeight="1" thickBot="1">
      <c r="A2" s="55"/>
      <c r="B2" s="60" t="s">
        <v>8</v>
      </c>
      <c r="C2" s="61" t="s">
        <v>9</v>
      </c>
      <c r="D2" s="62" t="s">
        <v>34</v>
      </c>
      <c r="E2" s="63" t="s">
        <v>302</v>
      </c>
      <c r="F2" s="63" t="s">
        <v>35</v>
      </c>
      <c r="G2" s="63" t="s">
        <v>13</v>
      </c>
      <c r="H2" s="63" t="s">
        <v>14</v>
      </c>
      <c r="I2" s="63" t="s">
        <v>15</v>
      </c>
      <c r="J2" s="63" t="s">
        <v>36</v>
      </c>
      <c r="K2" s="63" t="s">
        <v>17</v>
      </c>
      <c r="L2" s="64" t="s">
        <v>18</v>
      </c>
      <c r="M2" s="64" t="s">
        <v>37</v>
      </c>
      <c r="O2" s="56"/>
      <c r="P2" s="56"/>
      <c r="Q2" s="56"/>
      <c r="R2" s="56"/>
      <c r="S2" s="56"/>
      <c r="T2" s="56"/>
    </row>
    <row r="3" spans="1:20" ht="42" customHeight="1" thickBot="1">
      <c r="A3" s="55"/>
      <c r="B3" s="66">
        <f>SUM('01-09'!H5,'02-09'!H5,'03-09'!H5,'04-09'!H5,'05-09'!H5,'06-09'!H5,'08-09'!H5,'09-09'!H5,'10-09'!H5,'11-09'!H5,'12-09'!H5,'13-09'!H5,'15-09'!H5,'16-09'!H5,'17-09'!H5,'18-09'!H5,'19-09'!H5,'20-09'!H5,'22-09'!H5,'23-09'!H5,'24-09'!H5,'25-09'!H5,'26-09'!H5,'27-09'!H5,'29-09'!H5,'30-09'!H5)</f>
        <v>1</v>
      </c>
      <c r="C3" s="66">
        <f>SUM('01-09'!I5,'02-09'!I5,'03-09'!I5,'04-09'!I5,'05-09'!I5,'06-09'!I5,'08-09'!I5,'09-09'!I5,'10-09'!I5,'11-09'!I5,'12-09'!I5,'13-09'!I5,'15-09'!I5,'16-09'!I5,'17-09'!I5,'18-09'!I5,'19-09'!I5,'20-09'!I5,'22-09'!I5,'23-09'!I5,'24-09'!I5,'25-09'!I5,'26-09'!I5,'27-09'!I5,'29-09'!I5,'30-09'!I5)</f>
        <v>1</v>
      </c>
      <c r="D3" s="66">
        <f>SUM('01-09'!J5,'02-09'!J5,'03-09'!J5,'04-09'!J5,'05-09'!J5,'06-09'!J5,'08-09'!J5,'09-09'!J5,'10-09'!J5,'11-09'!J5,'12-09'!J5,'13-09'!J5,'15-09'!J5,'16-09'!J5,'17-09'!J5,'18-09'!J5,'19-09'!J5,'20-09'!J5,'22-09'!J5,'23-09'!J5,'24-09'!J5,'25-09'!J5,'26-09'!J5,'27-09'!J5,'29-09'!J5,'30-09'!J5)</f>
        <v>0</v>
      </c>
      <c r="E3" s="66">
        <f>SUM('01-09'!K5,'02-09'!K5,'03-09'!K5,'04-09'!K5,'05-09'!K5,'06-09'!K5,'08-09'!K5,'09-09'!K5,'10-09'!K5,'11-09'!K5,'12-09'!K5,'13-09'!K5,'15-09'!K5,'16-09'!K5,'17-09'!K5,'18-09'!K5,'19-09'!K5,'20-09'!K5,'22-09'!K5,'23-09'!K5,'24-09'!K5,'25-09'!K5,'26-09'!K5,'27-09'!K5,'29-09'!K5,'30-09'!K5)</f>
        <v>0</v>
      </c>
      <c r="F3" s="66">
        <f>SUM('01-09'!L5,'02-09'!L5,'03-09'!L5,'04-09'!L5,'05-09'!L5,'06-09'!L5,'08-09'!L5,'09-09'!L5,'10-09'!L5,'11-09'!L5,'12-09'!L5,'13-09'!L5,'15-09'!L5,'16-09'!L5,'17-09'!L5,'18-09'!L5,'19-09'!L5,'20-09'!L5,'22-09'!L5,'23-09'!L5,'24-09'!L5,'25-09'!L5,'26-09'!L5,'27-09'!L5,'29-09'!L5,'30-09'!L5)</f>
        <v>0</v>
      </c>
      <c r="G3" s="66">
        <f>SUM('01-09'!M5,'02-09'!M5,'03-09'!M5,'04-09'!M5,'05-09'!M5,'06-09'!M5,'08-09'!M5,'09-09'!M5,'10-09'!M5,'11-09'!M5,'12-09'!M5,'13-09'!M5,'15-09'!M5,'16-09'!M5,'17-09'!M5,'18-09'!M5,'19-09'!M5,'20-09'!M5,'22-09'!M5,'23-09'!M5,'24-09'!M5,'25-09'!M5,'26-09'!M5,'27-09'!M5,'29-09'!M5,'30-09'!M5)</f>
        <v>0</v>
      </c>
      <c r="H3" s="66">
        <f>SUM('01-09'!N5,'02-09'!N5,'03-09'!N5,'04-09'!N5,'05-09'!N5,'06-09'!N5,'08-09'!N5,'09-09'!N5,'10-09'!N5,'11-09'!N5,'12-09'!N5,'13-09'!N5,'15-09'!N5,'16-09'!N5,'17-09'!N5,'18-09'!N5,'19-09'!N5,'20-09'!N5,'22-09'!N5,'23-09'!N5,'24-09'!N5,'25-09'!N5,'26-09'!N5,'27-09'!N5,'29-09'!N5,'30-09'!N5)</f>
        <v>0</v>
      </c>
      <c r="I3" s="66">
        <f>SUM('01-09'!O5,'02-09'!O5,'03-09'!O5,'04-09'!O5,'05-09'!O5,'06-09'!O5,'08-09'!O5,'09-09'!O5,'10-09'!O5,'11-09'!O5,'12-09'!O5,'13-09'!O5,'15-09'!O5,'16-09'!O5,'17-09'!O5,'18-09'!O5,'19-09'!O5,'20-09'!O5,'22-09'!O5,'23-09'!O5,'24-09'!O5,'25-09'!O5,'26-09'!O5,'27-09'!O5,'29-09'!O5,'30-09'!O5)</f>
        <v>0</v>
      </c>
      <c r="J3" s="66">
        <f>SUM('01-09'!P5,'02-09'!P5,'03-09'!P5,'04-09'!P5,'05-09'!P5,'06-09'!P5,'08-09'!P5,'09-09'!P5,'10-09'!P5,'11-09'!P5,'12-09'!P5,'13-09'!P5,'15-09'!P5,'16-09'!P5,'17-09'!P5,'18-09'!P5,'19-09'!P5,'20-09'!P5,'22-09'!P5,'23-09'!P5,'24-09'!P5,'25-09'!P5,'26-09'!P5,'27-09'!P5,'29-09'!P5,'30-09'!P5)</f>
        <v>0</v>
      </c>
      <c r="K3" s="66">
        <f>SUM('01-09'!Q5,'02-09'!Q5,'03-09'!Q5,'04-09'!Q5,'05-09'!Q5,'06-09'!Q5,'08-09'!Q5,'09-09'!Q5,'10-09'!Q5,'11-09'!Q5,'12-09'!Q5,'13-09'!Q5,'15-09'!Q5,'16-09'!Q5,'17-09'!Q5,'18-09'!Q5,'19-09'!Q5,'20-09'!Q5,'22-09'!Q5,'23-09'!Q5,'24-09'!Q5,'25-09'!Q5,'26-09'!Q5,'27-09'!Q5,'29-09'!Q5,'30-09'!Q5)</f>
        <v>0</v>
      </c>
      <c r="L3" s="67">
        <f>SUM(C3,E3)</f>
        <v>1</v>
      </c>
      <c r="M3" s="68">
        <f>SUM(D3,F3)</f>
        <v>0</v>
      </c>
      <c r="O3" s="56"/>
      <c r="P3" s="56"/>
      <c r="Q3" s="56"/>
      <c r="R3" s="56"/>
      <c r="S3" s="56"/>
      <c r="T3" s="56"/>
    </row>
    <row r="4" spans="1:20" ht="1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O4" s="56"/>
      <c r="P4" s="56"/>
      <c r="Q4" s="56"/>
      <c r="R4" s="56"/>
      <c r="S4" s="56"/>
      <c r="T4" s="56"/>
    </row>
    <row r="5" spans="1:20" ht="15.75" customHeight="1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O5" s="56"/>
      <c r="P5" s="56"/>
      <c r="Q5" s="56"/>
      <c r="R5" s="56"/>
      <c r="S5" s="56"/>
      <c r="T5" s="56"/>
    </row>
    <row r="6" spans="1:20" ht="48" customHeight="1" thickBot="1">
      <c r="A6" s="1"/>
      <c r="B6" s="228" t="s">
        <v>38</v>
      </c>
      <c r="C6" s="229"/>
      <c r="D6" s="230"/>
      <c r="E6" s="228" t="s">
        <v>39</v>
      </c>
      <c r="F6" s="229"/>
      <c r="G6" s="230"/>
      <c r="H6" s="190" t="s">
        <v>40</v>
      </c>
      <c r="I6" s="191"/>
      <c r="J6" s="191"/>
      <c r="K6" s="198" t="s">
        <v>55</v>
      </c>
      <c r="L6" s="199"/>
      <c r="M6" s="200"/>
      <c r="O6" s="56"/>
      <c r="P6" s="56"/>
      <c r="Q6" s="56"/>
      <c r="R6" s="56"/>
      <c r="S6" s="56"/>
      <c r="T6" s="56"/>
    </row>
    <row r="7" spans="1:20" ht="41.25" customHeight="1" thickBot="1">
      <c r="A7" s="1"/>
      <c r="B7" s="192">
        <f>IFERROR(C3/SUM(C3:D3),"-")</f>
        <v>1</v>
      </c>
      <c r="C7" s="193"/>
      <c r="D7" s="194"/>
      <c r="E7" s="192" t="str">
        <f>IFERROR(E3/SUM(E3:F3),"-")</f>
        <v>-</v>
      </c>
      <c r="F7" s="193"/>
      <c r="G7" s="194"/>
      <c r="H7" s="192" cm="1">
        <f t="array" ref="H7">IFERROR(SUM(C3:I3/B3),"-")</f>
        <v>1</v>
      </c>
      <c r="I7" s="193"/>
      <c r="J7" s="193"/>
      <c r="K7" s="201">
        <f>IFERROR(L3/SUM(L3:M3),"-")</f>
        <v>1</v>
      </c>
      <c r="L7" s="202"/>
      <c r="M7" s="203"/>
      <c r="O7" s="56"/>
      <c r="P7" s="56"/>
      <c r="Q7" s="56"/>
      <c r="R7" s="56"/>
      <c r="S7" s="56"/>
      <c r="T7" s="56"/>
    </row>
    <row r="8" spans="1:20" ht="15.75" customHeight="1" thickBo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O8" s="56"/>
      <c r="P8" s="56"/>
      <c r="Q8" s="56"/>
      <c r="R8" s="56"/>
      <c r="S8" s="56"/>
      <c r="T8" s="56"/>
    </row>
    <row r="9" spans="1:20" ht="27" thickBot="1">
      <c r="A9" s="1"/>
      <c r="B9" s="1"/>
      <c r="C9" s="1"/>
      <c r="E9" s="81" t="s">
        <v>58</v>
      </c>
      <c r="F9" s="81">
        <v>102</v>
      </c>
      <c r="G9" s="81">
        <v>102</v>
      </c>
      <c r="H9" s="82">
        <v>102</v>
      </c>
      <c r="I9" s="82">
        <v>136</v>
      </c>
      <c r="J9" s="1"/>
      <c r="K9" s="1"/>
      <c r="L9" s="57"/>
      <c r="O9" s="56"/>
      <c r="P9" s="56"/>
      <c r="Q9" s="56"/>
      <c r="R9" s="56"/>
      <c r="S9" s="56"/>
      <c r="T9" s="56"/>
    </row>
    <row r="10" spans="1:20" s="1" customFormat="1" ht="66" customHeight="1" thickBot="1">
      <c r="D10"/>
      <c r="E10" s="158" t="s">
        <v>301</v>
      </c>
      <c r="F10" s="75" t="s">
        <v>48</v>
      </c>
      <c r="G10" s="76" t="s">
        <v>49</v>
      </c>
      <c r="H10" s="75" t="s">
        <v>50</v>
      </c>
      <c r="I10" s="75" t="s">
        <v>51</v>
      </c>
      <c r="J10" s="56"/>
      <c r="K10" s="56"/>
    </row>
    <row r="11" spans="1:20" s="1" customFormat="1" ht="48.75" customHeight="1" thickBot="1">
      <c r="E11" s="65">
        <f>SUM('01-09'!J18:M19,'02-09'!J18:M19,'03-09'!J18:M19,'04-09'!J18:M19,'05-09'!J18:M19,'06-09'!J18:M19,'08-09'!J18:M19,'09-09'!J18:M19,'10-09'!J18:M19,'11-09'!J18:M19,'12-09'!J18:M19,'13-09'!J18:M19,'15-09'!J18:M19,'16-09'!J18:M19,'17-09'!J18:M19,'18-09'!J18:M19,'19-09'!J18:M19,'20-09'!J18:M19,'22-09'!J18:M19,'23-09'!J18:M19,'24-09'!J18:M19,'25-09'!J18:M19,'26-09'!J18:M19,'27-09'!J18:M19,'29-09'!J18:M19,'30-09'!J18:M19)</f>
        <v>3</v>
      </c>
      <c r="F11" s="83">
        <f>SUM('01-09'!J18:M19,'02-09'!J18:M19,'03-09'!J18:M19,'04-09'!J18:M19,'05-09'!J18:M19,'06-09'!J18:M19)</f>
        <v>3</v>
      </c>
      <c r="G11" s="83">
        <f>SUM('08-09'!J18:M19,'09-09'!J18:M19,'10-09'!J18:M19,'11-09'!J18:M19,'12-09'!J18:M19,'13-09'!J18:M19)</f>
        <v>0</v>
      </c>
      <c r="H11" s="83">
        <f>SUM('15-09'!J18:M19,'16-09'!J18:M19,'17-09'!J18:M19,'18-09'!J18:M19,'19-09'!J18:M19,'20-09'!J18:M19)</f>
        <v>0</v>
      </c>
      <c r="I11" s="80">
        <f>SUM('22-09'!J18:M19,'23-09'!J18:M19,'24-09'!J18:M19,'25-09'!J18:M19,'26-09'!J18:M19,'27-09'!J18:M19,'29-09'!J18:M19,'30-09'!J18:M19)</f>
        <v>0</v>
      </c>
      <c r="M11"/>
      <c r="N11"/>
      <c r="O11" s="56"/>
      <c r="P11" s="56"/>
      <c r="Q11" s="56"/>
      <c r="R11" s="56"/>
      <c r="S11" s="56"/>
      <c r="T11" s="56"/>
    </row>
    <row r="12" spans="1:20" s="1" customFormat="1" ht="15.75" customHeight="1" thickBot="1">
      <c r="M12"/>
      <c r="N12"/>
      <c r="O12" s="56"/>
      <c r="P12" s="56"/>
      <c r="Q12" s="56"/>
      <c r="R12" s="56"/>
      <c r="S12" s="56"/>
      <c r="T12" s="56"/>
    </row>
    <row r="13" spans="1:20" s="1" customFormat="1" ht="60.75" customHeight="1" thickBot="1">
      <c r="E13" s="210" t="s">
        <v>53</v>
      </c>
      <c r="F13" s="211"/>
      <c r="G13" s="211"/>
      <c r="H13" s="211"/>
      <c r="I13" s="212"/>
      <c r="M13"/>
      <c r="N13"/>
      <c r="O13" s="56"/>
      <c r="P13" s="56"/>
      <c r="Q13" s="56"/>
      <c r="R13" s="56"/>
      <c r="S13" s="56"/>
      <c r="T13" s="56"/>
    </row>
    <row r="14" spans="1:20" s="1" customFormat="1" ht="69.75" customHeight="1" thickBot="1">
      <c r="E14" s="225">
        <f>SUM('01-09'!I25:Q29,'02-09'!I25:Q29,'03-09'!I25:Q29,'04-09'!I25:Q29,'05-09'!I25:Q29,'06-09'!I25:Q29,'08-09'!I25:Q29,'09-09'!I25:Q29,'10-09'!I25:Q29,'11-09'!I25:Q29,'12-09'!I25:Q29,'13-09'!I25:Q29,'15-09'!I25:Q29,'16-09'!I25:Q29,'17-09'!I25:Q29,'18-09'!I25:Q29,'19-09'!I25:Q29,'20-09'!I25:Q29,'22-09'!I25:Q29,'23-09'!I25:Q29,'24-09'!I25:Q29,'25-09'!I25:Q29,'26-09'!I25:Q29,'27-09'!I25:Q29,'29-09'!I25:Q29,'30-09'!I25:Q29)</f>
        <v>0</v>
      </c>
      <c r="F14" s="226"/>
      <c r="G14" s="226"/>
      <c r="H14" s="226"/>
      <c r="I14" s="227"/>
      <c r="M14"/>
      <c r="N14"/>
      <c r="O14" s="56"/>
      <c r="P14" s="56"/>
      <c r="Q14" s="56"/>
      <c r="R14" s="56"/>
      <c r="S14" s="56"/>
      <c r="T14" s="56"/>
    </row>
    <row r="15" spans="1:20" s="1" customFormat="1" ht="15.75" customHeight="1" thickBot="1">
      <c r="M15"/>
      <c r="N15"/>
      <c r="O15" s="56"/>
      <c r="P15" s="56"/>
      <c r="Q15" s="56"/>
      <c r="R15" s="56"/>
      <c r="S15" s="56"/>
      <c r="T15" s="56"/>
    </row>
    <row r="16" spans="1:20" s="1" customFormat="1" ht="15" customHeight="1">
      <c r="E16" s="204" t="s">
        <v>41</v>
      </c>
      <c r="F16" s="205"/>
      <c r="G16" s="205"/>
      <c r="H16" s="205"/>
      <c r="I16" s="206"/>
      <c r="O16" s="56"/>
      <c r="P16" s="56"/>
      <c r="Q16" s="56"/>
      <c r="R16" s="56"/>
      <c r="S16" s="56"/>
      <c r="T16" s="56"/>
    </row>
    <row r="17" spans="2:20" s="1" customFormat="1" ht="29.25" thickBot="1">
      <c r="E17" s="207"/>
      <c r="F17" s="208"/>
      <c r="G17" s="208"/>
      <c r="H17" s="208"/>
      <c r="I17" s="209"/>
      <c r="K17" s="58"/>
      <c r="O17" s="56"/>
      <c r="P17" s="56"/>
      <c r="Q17" s="56"/>
      <c r="R17" s="56"/>
      <c r="S17" s="56"/>
      <c r="T17" s="56"/>
    </row>
    <row r="18" spans="2:20" s="1" customFormat="1" ht="28.5">
      <c r="E18" s="69"/>
      <c r="I18" s="70"/>
      <c r="J18" s="58"/>
      <c r="K18" s="58"/>
      <c r="O18" s="56"/>
      <c r="P18" s="56"/>
      <c r="Q18" s="56"/>
      <c r="R18" s="56"/>
      <c r="S18" s="56"/>
      <c r="T18" s="56"/>
    </row>
    <row r="19" spans="2:20" s="1" customFormat="1" ht="15" customHeight="1">
      <c r="E19" s="69"/>
      <c r="F19" s="1" t="s">
        <v>42</v>
      </c>
      <c r="I19" s="71"/>
      <c r="O19" s="56"/>
      <c r="P19" s="56"/>
      <c r="Q19" s="56"/>
      <c r="R19" s="56"/>
      <c r="S19" s="56"/>
      <c r="T19" s="56"/>
    </row>
    <row r="20" spans="2:20" s="1" customFormat="1" ht="15" customHeight="1">
      <c r="E20" s="69"/>
      <c r="I20" s="71"/>
      <c r="O20" s="56"/>
      <c r="P20" s="56"/>
      <c r="Q20" s="56"/>
      <c r="R20" s="56"/>
      <c r="S20" s="56"/>
      <c r="T20" s="56"/>
    </row>
    <row r="21" spans="2:20" s="1" customFormat="1" ht="15" customHeight="1">
      <c r="E21" s="69"/>
      <c r="I21" s="71"/>
      <c r="O21" s="56"/>
      <c r="P21" s="56"/>
      <c r="Q21" s="56"/>
      <c r="R21" s="56"/>
      <c r="S21" s="56"/>
      <c r="T21" s="56"/>
    </row>
    <row r="22" spans="2:20" s="1" customFormat="1" ht="15" customHeight="1">
      <c r="E22" s="69"/>
      <c r="I22" s="71"/>
      <c r="O22" s="56"/>
      <c r="P22" s="56"/>
      <c r="Q22" s="56"/>
      <c r="R22" s="56"/>
      <c r="S22" s="56"/>
      <c r="T22" s="56"/>
    </row>
    <row r="23" spans="2:20" s="1" customFormat="1" ht="15" customHeight="1">
      <c r="E23" s="69"/>
      <c r="I23" s="71"/>
      <c r="O23" s="56"/>
      <c r="P23" s="56"/>
      <c r="Q23" s="56"/>
      <c r="R23" s="56"/>
      <c r="S23" s="56"/>
      <c r="T23" s="56"/>
    </row>
    <row r="24" spans="2:20" s="1" customFormat="1" ht="15" customHeight="1">
      <c r="E24" s="69"/>
      <c r="I24" s="71"/>
      <c r="O24" s="56"/>
      <c r="P24" s="56"/>
      <c r="Q24" s="56"/>
      <c r="R24" s="56"/>
      <c r="S24" s="56"/>
      <c r="T24" s="56"/>
    </row>
    <row r="25" spans="2:20" s="1" customFormat="1" ht="15" customHeight="1">
      <c r="E25" s="69"/>
      <c r="I25" s="71"/>
      <c r="O25" s="56"/>
      <c r="P25" s="56"/>
      <c r="Q25" s="56"/>
      <c r="R25" s="56"/>
      <c r="S25" s="56"/>
      <c r="T25" s="56"/>
    </row>
    <row r="26" spans="2:20" s="1" customFormat="1" ht="15" customHeight="1" thickBot="1">
      <c r="E26" s="72"/>
      <c r="F26" s="73"/>
      <c r="G26" s="73"/>
      <c r="H26" s="73"/>
      <c r="I26" s="74"/>
      <c r="O26" s="56"/>
      <c r="P26" s="56"/>
      <c r="Q26" s="56"/>
      <c r="R26" s="56"/>
      <c r="S26" s="56"/>
      <c r="T26" s="56"/>
    </row>
    <row r="27" spans="2:20" s="1" customFormat="1" ht="15.75" customHeight="1" thickBot="1">
      <c r="O27" s="56"/>
      <c r="P27" s="56"/>
      <c r="Q27" s="56"/>
      <c r="R27" s="56"/>
      <c r="S27" s="56"/>
      <c r="T27" s="56"/>
    </row>
    <row r="28" spans="2:20" s="1" customFormat="1" ht="15" customHeight="1">
      <c r="B28" s="219" t="s">
        <v>43</v>
      </c>
      <c r="C28" s="220"/>
      <c r="D28" s="221"/>
      <c r="O28" s="56"/>
      <c r="P28" s="56"/>
      <c r="Q28" s="56"/>
      <c r="R28" s="56"/>
      <c r="S28" s="56"/>
      <c r="T28" s="56"/>
    </row>
    <row r="29" spans="2:20" s="1" customFormat="1" ht="15.75" customHeight="1" thickBot="1">
      <c r="B29" s="222"/>
      <c r="C29" s="223"/>
      <c r="D29" s="224"/>
      <c r="O29" s="56"/>
      <c r="P29" s="56"/>
      <c r="Q29" s="56"/>
      <c r="R29" s="56"/>
      <c r="S29" s="56"/>
      <c r="T29" s="56"/>
    </row>
    <row r="30" spans="2:20" s="59" customFormat="1" ht="29.25" thickBot="1">
      <c r="B30" s="216" t="s">
        <v>52</v>
      </c>
      <c r="C30" s="217"/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217"/>
      <c r="O30" s="218"/>
    </row>
    <row r="31" spans="2:20" s="59" customFormat="1" ht="29.25" thickBot="1">
      <c r="B31" s="213" t="s">
        <v>44</v>
      </c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5"/>
    </row>
    <row r="32" spans="2:20" s="59" customFormat="1" ht="29.25" thickBot="1">
      <c r="B32" s="195" t="s">
        <v>45</v>
      </c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7"/>
    </row>
    <row r="33" spans="2:15" s="59" customFormat="1" ht="29.25" thickBot="1">
      <c r="B33" s="195" t="s">
        <v>46</v>
      </c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7"/>
    </row>
    <row r="34" spans="2:15" s="59" customFormat="1" ht="29.25" thickBot="1">
      <c r="B34" s="195" t="s">
        <v>47</v>
      </c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7"/>
    </row>
    <row r="35" spans="2:15" s="1" customFormat="1" ht="30" customHeight="1" thickBot="1">
      <c r="B35" s="195" t="s">
        <v>54</v>
      </c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7"/>
    </row>
    <row r="36" spans="2:15" s="1" customFormat="1"/>
  </sheetData>
  <mergeCells count="18">
    <mergeCell ref="B6:D6"/>
    <mergeCell ref="E6:G6"/>
    <mergeCell ref="H6:J6"/>
    <mergeCell ref="B7:D7"/>
    <mergeCell ref="E7:G7"/>
    <mergeCell ref="H7:J7"/>
    <mergeCell ref="B35:O35"/>
    <mergeCell ref="K6:M6"/>
    <mergeCell ref="K7:M7"/>
    <mergeCell ref="E16:I17"/>
    <mergeCell ref="E13:I13"/>
    <mergeCell ref="B31:O31"/>
    <mergeCell ref="B30:O30"/>
    <mergeCell ref="B32:O32"/>
    <mergeCell ref="B33:O33"/>
    <mergeCell ref="B34:O34"/>
    <mergeCell ref="B28:D29"/>
    <mergeCell ref="E14:I14"/>
  </mergeCells>
  <conditionalFormatting sqref="B7">
    <cfRule type="iconSet" priority="10">
      <iconSet iconSet="3Symbols">
        <cfvo type="percent" val="0"/>
        <cfvo type="num" val="0.75"/>
        <cfvo type="num" val="0.8"/>
      </iconSet>
    </cfRule>
  </conditionalFormatting>
  <conditionalFormatting sqref="E7">
    <cfRule type="iconSet" priority="11">
      <iconSet iconSet="3Symbols">
        <cfvo type="percent" val="0"/>
        <cfvo type="num" val="0.75"/>
        <cfvo type="num" val="0.8"/>
      </iconSet>
    </cfRule>
  </conditionalFormatting>
  <conditionalFormatting sqref="E14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{BA35A559-8D21-4C81-8F91-7EFF8A0F090B}</x14:id>
        </ext>
      </extLst>
    </cfRule>
  </conditionalFormatting>
  <conditionalFormatting sqref="F9">
    <cfRule type="iconSet" priority="6">
      <iconSet iconSet="3Flags">
        <cfvo type="percent" val="0"/>
        <cfvo type="percent" val="33"/>
        <cfvo type="percent" val="67"/>
      </iconSet>
    </cfRule>
  </conditionalFormatting>
  <conditionalFormatting sqref="G9">
    <cfRule type="iconSet" priority="5">
      <iconSet iconSet="3Flags">
        <cfvo type="percent" val="0"/>
        <cfvo type="percent" val="33"/>
        <cfvo type="percent" val="67"/>
      </iconSet>
    </cfRule>
  </conditionalFormatting>
  <conditionalFormatting sqref="H9">
    <cfRule type="iconSet" priority="4">
      <iconSet iconSet="3Flags">
        <cfvo type="percent" val="0"/>
        <cfvo type="percent" val="33"/>
        <cfvo type="percent" val="67"/>
      </iconSet>
    </cfRule>
  </conditionalFormatting>
  <conditionalFormatting sqref="I9">
    <cfRule type="iconSet" priority="3">
      <iconSet iconSet="3Flags">
        <cfvo type="percent" val="0"/>
        <cfvo type="percent" val="33"/>
        <cfvo type="percent" val="67"/>
      </iconSet>
    </cfRule>
  </conditionalFormatting>
  <conditionalFormatting sqref="K7">
    <cfRule type="iconSet" priority="9">
      <iconSet iconSet="3Symbols">
        <cfvo type="percent" val="0"/>
        <cfvo type="num" val="0.75"/>
        <cfvo type="num" val="0.8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35A559-8D21-4C81-8F91-7EFF8A0F09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E14</xm:sqref>
        </x14:conditionalFormatting>
        <x14:conditionalFormatting xmlns:xm="http://schemas.microsoft.com/office/excel/2006/main">
          <x14:cfRule type="iconSet" priority="2" id="{6E000062-7976-4E2D-A420-91DA7A3E2B32}">
            <x14:iconSet iconSet="3Flags" custom="1">
              <x14:cfvo type="percent">
                <xm:f>0</xm:f>
              </x14:cfvo>
              <x14:cfvo type="num">
                <xm:f>101</xm:f>
              </x14:cfvo>
              <x14:cfvo type="num">
                <xm:f>102</xm:f>
              </x14:cfvo>
              <x14:cfIcon iconSet="3Flags" iconId="0"/>
              <x14:cfIcon iconSet="3Flags" iconId="0"/>
              <x14:cfIcon iconSet="3Flags" iconId="2"/>
            </x14:iconSet>
          </x14:cfRule>
          <xm:sqref>F11:H11</xm:sqref>
        </x14:conditionalFormatting>
        <x14:conditionalFormatting xmlns:xm="http://schemas.microsoft.com/office/excel/2006/main">
          <x14:cfRule type="iconSet" priority="1" id="{A65D09D5-0316-4C0F-B6CC-57EAB27FFF7C}">
            <x14:iconSet iconSet="3Flags" custom="1">
              <x14:cfvo type="percent">
                <xm:f>0</xm:f>
              </x14:cfvo>
              <x14:cfvo type="num">
                <xm:f>135</xm:f>
              </x14:cfvo>
              <x14:cfvo type="num">
                <xm:f>136</xm:f>
              </x14:cfvo>
              <x14:cfIcon iconSet="3Flags" iconId="0"/>
              <x14:cfIcon iconSet="3Flags" iconId="0"/>
              <x14:cfIcon iconSet="3Flags" iconId="2"/>
            </x14:iconSet>
          </x14:cfRule>
          <xm:sqref>I11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EDF6-50FD-4EC2-973A-DFBF715F0AC3}">
  <dimension ref="A1:AA51"/>
  <sheetViews>
    <sheetView showGridLines="0" tabSelected="1" zoomScale="70" zoomScaleNormal="70" workbookViewId="0">
      <selection activeCell="C6" sqref="C6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85" t="s">
        <v>57</v>
      </c>
      <c r="C4" s="24" t="s">
        <v>5</v>
      </c>
      <c r="D4" s="9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159">
        <v>3333</v>
      </c>
      <c r="C5" s="88" t="s">
        <v>306</v>
      </c>
      <c r="D5" s="36" t="s">
        <v>20</v>
      </c>
      <c r="E5" s="93">
        <v>3</v>
      </c>
      <c r="F5" s="36"/>
      <c r="G5" s="1"/>
      <c r="H5" s="18">
        <f>COUNT(B5:B50)</f>
        <v>1</v>
      </c>
      <c r="I5" s="17">
        <f>COUNTIF($D$5:$D$50,"RETENIDO HOGAR")</f>
        <v>1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159"/>
      <c r="C6" s="88"/>
      <c r="D6" s="36"/>
      <c r="E6" s="93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159"/>
      <c r="C7" s="88"/>
      <c r="D7" s="36"/>
      <c r="E7" s="93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159"/>
      <c r="C8" s="88"/>
      <c r="D8" s="36"/>
      <c r="E8" s="93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159"/>
      <c r="C9" s="88"/>
      <c r="D9" s="36"/>
      <c r="E9" s="93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159"/>
      <c r="C10" s="88"/>
      <c r="D10" s="36"/>
      <c r="E10" s="93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159"/>
      <c r="C11" s="88"/>
      <c r="D11" s="36"/>
      <c r="E11" s="93"/>
      <c r="F11" s="36"/>
      <c r="G11" s="1"/>
      <c r="H11" s="280">
        <f>IFERROR(I5/SUM(I5:J5),"-")</f>
        <v>1</v>
      </c>
      <c r="I11" s="281"/>
      <c r="J11" s="282"/>
      <c r="K11" s="280" t="str">
        <f>IFERROR(K5/SUM(K5:L5),"-")</f>
        <v>-</v>
      </c>
      <c r="L11" s="281"/>
      <c r="M11" s="282"/>
      <c r="N11" s="289" cm="1">
        <f t="array" ref="N11">IFERROR(SUM(I5:O5/H5),"-")</f>
        <v>1</v>
      </c>
      <c r="O11" s="290"/>
      <c r="P11" s="280">
        <f>IFERROR(SUM(I5,K5)/SUM(I5:L5),"-")</f>
        <v>1</v>
      </c>
      <c r="Q11" s="281"/>
      <c r="R11" s="282"/>
      <c r="Y11" s="8" t="s">
        <v>15</v>
      </c>
    </row>
    <row r="12" spans="2:27" ht="19.5" customHeight="1">
      <c r="B12" s="159"/>
      <c r="C12" s="88"/>
      <c r="D12" s="36"/>
      <c r="E12" s="93"/>
      <c r="F12" s="36"/>
      <c r="G12" s="1"/>
      <c r="H12" s="283"/>
      <c r="I12" s="284"/>
      <c r="J12" s="285"/>
      <c r="K12" s="283"/>
      <c r="L12" s="284"/>
      <c r="M12" s="285"/>
      <c r="N12" s="291"/>
      <c r="O12" s="292"/>
      <c r="P12" s="283"/>
      <c r="Q12" s="284"/>
      <c r="R12" s="285"/>
      <c r="Y12" s="13" t="s">
        <v>26</v>
      </c>
    </row>
    <row r="13" spans="2:27" ht="19.5" customHeight="1" thickBot="1">
      <c r="B13" s="159"/>
      <c r="C13" s="88"/>
      <c r="D13" s="36"/>
      <c r="E13" s="93"/>
      <c r="F13" s="36"/>
      <c r="G13" s="1"/>
      <c r="H13" s="286"/>
      <c r="I13" s="287"/>
      <c r="J13" s="288"/>
      <c r="K13" s="286"/>
      <c r="L13" s="287"/>
      <c r="M13" s="288"/>
      <c r="N13" s="293"/>
      <c r="O13" s="294"/>
      <c r="P13" s="286"/>
      <c r="Q13" s="287"/>
      <c r="R13" s="288"/>
      <c r="Y13" s="8" t="s">
        <v>17</v>
      </c>
    </row>
    <row r="14" spans="2:27" ht="19.5" customHeight="1" thickBot="1">
      <c r="B14" s="159"/>
      <c r="C14" s="88"/>
      <c r="D14" s="36"/>
      <c r="E14" s="93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159"/>
      <c r="C15" s="88"/>
      <c r="D15" s="36"/>
      <c r="E15" s="93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159"/>
      <c r="C16" s="88"/>
      <c r="D16" s="36"/>
      <c r="E16" s="93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159"/>
      <c r="C17" s="88"/>
      <c r="D17" s="36"/>
      <c r="E17" s="93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159"/>
      <c r="C18" s="88"/>
      <c r="D18" s="36"/>
      <c r="E18" s="93"/>
      <c r="F18" s="36"/>
      <c r="J18" s="255">
        <f>IFERROR(SUM($E$5:$E$50),"-")</f>
        <v>3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159"/>
      <c r="C19" s="88"/>
      <c r="D19" s="36"/>
      <c r="E19" s="93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159"/>
      <c r="C20" s="88"/>
      <c r="D20" s="36"/>
      <c r="E20" s="93"/>
      <c r="F20" s="36"/>
      <c r="R20" s="16"/>
    </row>
    <row r="21" spans="2:18" ht="19.5" customHeight="1">
      <c r="B21" s="86"/>
      <c r="C21" s="88"/>
      <c r="D21" s="36"/>
      <c r="E21" s="93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86"/>
      <c r="C22" s="88"/>
      <c r="D22" s="96"/>
      <c r="E22" s="93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86"/>
      <c r="C23" s="88"/>
      <c r="D23" s="96"/>
      <c r="E23" s="93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84"/>
      <c r="C24" s="89"/>
      <c r="D24" s="97"/>
      <c r="E24" s="92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84"/>
      <c r="C25" s="90"/>
      <c r="D25" s="97"/>
      <c r="E25" s="93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84"/>
      <c r="C26" s="90"/>
      <c r="D26" s="97"/>
      <c r="E26" s="93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84"/>
      <c r="C27" s="90"/>
      <c r="D27" s="97"/>
      <c r="E27" s="93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84"/>
      <c r="C28" s="90"/>
      <c r="D28" s="97"/>
      <c r="E28" s="93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84"/>
      <c r="C29" s="90"/>
      <c r="D29" s="97"/>
      <c r="E29" s="93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84"/>
      <c r="C30" s="90"/>
      <c r="D30" s="97"/>
      <c r="E30" s="93"/>
      <c r="F30" s="36"/>
      <c r="G30" s="1"/>
    </row>
    <row r="31" spans="2:18" ht="19.5" customHeight="1">
      <c r="B31" s="84"/>
      <c r="C31" s="90"/>
      <c r="D31" s="97"/>
      <c r="E31" s="93"/>
      <c r="F31" s="36"/>
      <c r="G31" s="1"/>
    </row>
    <row r="32" spans="2:18" ht="19.5" customHeight="1">
      <c r="B32" s="84"/>
      <c r="C32" s="90"/>
      <c r="D32" s="97"/>
      <c r="E32" s="93"/>
      <c r="F32" s="36"/>
      <c r="G32" s="1"/>
    </row>
    <row r="33" spans="2:7" ht="19.5" customHeight="1">
      <c r="B33" s="84"/>
      <c r="C33" s="90"/>
      <c r="D33" s="97"/>
      <c r="E33" s="93"/>
      <c r="F33" s="36"/>
      <c r="G33" s="1"/>
    </row>
    <row r="34" spans="2:7" ht="19.5" customHeight="1">
      <c r="B34" s="84"/>
      <c r="C34" s="90"/>
      <c r="D34" s="97"/>
      <c r="E34" s="93"/>
      <c r="F34" s="36"/>
      <c r="G34" s="1"/>
    </row>
    <row r="35" spans="2:7" ht="19.5" customHeight="1">
      <c r="B35" s="84"/>
      <c r="C35" s="90"/>
      <c r="D35" s="97"/>
      <c r="E35" s="93"/>
      <c r="F35" s="36"/>
      <c r="G35" s="1"/>
    </row>
    <row r="36" spans="2:7" ht="19.5" customHeight="1">
      <c r="B36" s="84"/>
      <c r="C36" s="90"/>
      <c r="D36" s="97"/>
      <c r="E36" s="93"/>
      <c r="F36" s="36"/>
      <c r="G36" s="1"/>
    </row>
    <row r="37" spans="2:7" ht="19.5" customHeight="1">
      <c r="B37" s="84"/>
      <c r="C37" s="90"/>
      <c r="D37" s="97"/>
      <c r="E37" s="93"/>
      <c r="F37" s="36"/>
      <c r="G37" s="1"/>
    </row>
    <row r="38" spans="2:7" ht="19.5" customHeight="1">
      <c r="B38" s="84"/>
      <c r="C38" s="90"/>
      <c r="D38" s="97"/>
      <c r="E38" s="93"/>
      <c r="F38" s="36"/>
      <c r="G38" s="1"/>
    </row>
    <row r="39" spans="2:7" ht="19.5" customHeight="1">
      <c r="B39" s="84"/>
      <c r="C39" s="90"/>
      <c r="D39" s="97"/>
      <c r="E39" s="93"/>
      <c r="F39" s="36"/>
      <c r="G39" s="1"/>
    </row>
    <row r="40" spans="2:7" ht="19.5" customHeight="1">
      <c r="B40" s="84"/>
      <c r="C40" s="90"/>
      <c r="D40" s="97"/>
      <c r="E40" s="93"/>
      <c r="F40" s="36"/>
      <c r="G40" s="1"/>
    </row>
    <row r="41" spans="2:7" ht="19.5" customHeight="1">
      <c r="B41" s="84"/>
      <c r="C41" s="90"/>
      <c r="D41" s="97"/>
      <c r="E41" s="93"/>
      <c r="F41" s="36"/>
      <c r="G41" s="1"/>
    </row>
    <row r="42" spans="2:7" ht="19.5" customHeight="1">
      <c r="B42" s="84"/>
      <c r="C42" s="90"/>
      <c r="D42" s="97"/>
      <c r="E42" s="93"/>
      <c r="F42" s="36"/>
      <c r="G42" s="1"/>
    </row>
    <row r="43" spans="2:7" ht="19.5" customHeight="1">
      <c r="B43" s="84"/>
      <c r="C43" s="90"/>
      <c r="D43" s="97"/>
      <c r="E43" s="93"/>
      <c r="F43" s="36"/>
      <c r="G43" s="1"/>
    </row>
    <row r="44" spans="2:7" ht="19.5" customHeight="1">
      <c r="B44" s="84"/>
      <c r="C44" s="90"/>
      <c r="D44" s="97"/>
      <c r="E44" s="93"/>
      <c r="F44" s="36"/>
      <c r="G44" s="1"/>
    </row>
    <row r="45" spans="2:7" ht="19.5" customHeight="1">
      <c r="B45" s="84"/>
      <c r="C45" s="90"/>
      <c r="D45" s="97"/>
      <c r="E45" s="93"/>
      <c r="F45" s="36"/>
      <c r="G45" s="1"/>
    </row>
    <row r="46" spans="2:7" ht="19.5" customHeight="1">
      <c r="B46" s="84"/>
      <c r="C46" s="90"/>
      <c r="D46" s="97"/>
      <c r="E46" s="93"/>
      <c r="F46" s="36"/>
      <c r="G46" s="1"/>
    </row>
    <row r="47" spans="2:7" ht="19.5" customHeight="1">
      <c r="B47" s="84"/>
      <c r="C47" s="90"/>
      <c r="D47" s="97"/>
      <c r="E47" s="93"/>
      <c r="F47" s="36"/>
      <c r="G47" s="1"/>
    </row>
    <row r="48" spans="2:7" ht="19.5" customHeight="1">
      <c r="B48" s="84"/>
      <c r="C48" s="90"/>
      <c r="D48" s="97"/>
      <c r="E48" s="93"/>
      <c r="F48" s="36"/>
      <c r="G48" s="1"/>
    </row>
    <row r="49" spans="2:7" ht="19.5" customHeight="1">
      <c r="B49" s="84"/>
      <c r="C49" s="90"/>
      <c r="D49" s="97"/>
      <c r="E49" s="93"/>
      <c r="F49" s="36"/>
      <c r="G49" s="1"/>
    </row>
    <row r="50" spans="2:7" ht="19.5" customHeight="1" thickBot="1">
      <c r="B50" s="87"/>
      <c r="C50" s="91"/>
      <c r="D50" s="98"/>
      <c r="E50" s="94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T4:T5"/>
    <mergeCell ref="H8:J10"/>
    <mergeCell ref="K8:M10"/>
    <mergeCell ref="N8:O10"/>
    <mergeCell ref="P8:R10"/>
    <mergeCell ref="I21:Q24"/>
    <mergeCell ref="I25:Q29"/>
    <mergeCell ref="J15:M17"/>
    <mergeCell ref="J18:M19"/>
    <mergeCell ref="E2:F2"/>
    <mergeCell ref="M2:N2"/>
    <mergeCell ref="G2:H2"/>
    <mergeCell ref="N15:P17"/>
    <mergeCell ref="N18:P19"/>
    <mergeCell ref="I2:J2"/>
    <mergeCell ref="H11:J13"/>
    <mergeCell ref="K11:M13"/>
    <mergeCell ref="N11:O13"/>
    <mergeCell ref="P11:R13"/>
  </mergeCells>
  <conditionalFormatting sqref="D5:D50">
    <cfRule type="containsText" dxfId="233" priority="9" operator="containsText" text="GES_NCC">
      <formula>NOT(ISERROR(SEARCH("GES_NCC",D5)))</formula>
    </cfRule>
    <cfRule type="containsText" dxfId="232" priority="10" operator="containsText" text="IDENTIDA">
      <formula>NOT(ISERROR(SEARCH("IDENTIDA",D5)))</formula>
    </cfRule>
    <cfRule type="containsText" dxfId="231" priority="11" operator="containsText" text="INF_NIA">
      <formula>NOT(ISERROR(SEARCH("INF_NIA",D5)))</formula>
    </cfRule>
    <cfRule type="containsText" dxfId="230" priority="12" operator="containsText" text="CANCELADO MOVIL">
      <formula>NOT(ISERROR(SEARCH("CANCELADO MOVIL",D5)))</formula>
    </cfRule>
    <cfRule type="containsText" dxfId="229" priority="13" operator="containsText" text="CANCELADO HOGAR">
      <formula>NOT(ISERROR(SEARCH("CANCELADO HOGAR",D5)))</formula>
    </cfRule>
    <cfRule type="containsText" dxfId="228" priority="14" operator="containsText" text="RETENIDO MOVIL">
      <formula>NOT(ISERROR(SEARCH("RETENIDO MOVIL",D5)))</formula>
    </cfRule>
    <cfRule type="containsText" dxfId="227" priority="15" operator="containsText" text="RETENIDO HOGAR">
      <formula>NOT(ISERROR(SEARCH("RETENIDO HOGAR",D5)))</formula>
    </cfRule>
    <cfRule type="containsText" dxfId="226" priority="16" operator="containsText" text="MAL TRANSFERIDA">
      <formula>NOT(ISERROR(SEARCH("MAL TRANSFERIDA",D5)))</formula>
    </cfRule>
    <cfRule type="containsText" dxfId="225" priority="17" operator="containsText" text="LLAMADA CAIDA">
      <formula>NOT(ISERROR(SEARCH("LLAMADA CAIDA",D5)))</formula>
    </cfRule>
  </conditionalFormatting>
  <conditionalFormatting sqref="H11">
    <cfRule type="iconSet" priority="2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{189D2B7A-E06F-47E8-90A5-FA7A10F39ED1}</x14:id>
        </ext>
      </extLst>
    </cfRule>
  </conditionalFormatting>
  <conditionalFormatting sqref="I25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{A061218B-C668-4A8C-8E52-638A551375D3}</x14:id>
        </ext>
      </extLst>
    </cfRule>
  </conditionalFormatting>
  <conditionalFormatting sqref="K11">
    <cfRule type="iconSet" priority="1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19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{D441165B-5DED-4921-829A-638BA92AAA4A}</x14:id>
        </ext>
      </extLst>
    </cfRule>
  </conditionalFormatting>
  <conditionalFormatting sqref="U5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{6F4E917F-CD5F-4780-9A4F-98FB93EF788F}</x14:id>
        </ext>
      </extLst>
    </cfRule>
  </conditionalFormatting>
  <conditionalFormatting sqref="V5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{92D6C4E8-C714-4C20-9621-D479C690D65A}</x14:id>
        </ext>
      </extLst>
    </cfRule>
  </conditionalFormatting>
  <conditionalFormatting sqref="W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{6B70A66B-EEBA-4FFF-97E5-C2D2C26B3A94}</x14:id>
        </ext>
      </extLst>
    </cfRule>
  </conditionalFormatting>
  <dataValidations count="3">
    <dataValidation type="list" allowBlank="1" showInputMessage="1" showErrorMessage="1" sqref="D5:D50" xr:uid="{AEC69420-BC84-468D-B01D-765013284A97}">
      <formula1>$Y$5:$Y$13</formula1>
    </dataValidation>
    <dataValidation type="list" allowBlank="1" showInputMessage="1" showErrorMessage="1" sqref="E5:E50" xr:uid="{3E22B268-1290-4768-B22C-F8E60EE2F2B6}">
      <formula1>IF(OR(D5="RETENIDO HOGAR",D5="RETENIDO MOVIL"),$Z$5:$Z$7,"-")</formula1>
    </dataValidation>
    <dataValidation type="list" allowBlank="1" showInputMessage="1" showErrorMessage="1" sqref="F5:F50" xr:uid="{BAC9BD93-7C68-4939-9B7F-A94AB7FFEB8D}">
      <formula1>IF(OR(D5="CANCELADO HOGAR",D5="CANCELADO MOVIL"),$Z$5:$Z$7,"-")</formula1>
    </dataValidation>
  </dataValidations>
  <hyperlinks>
    <hyperlink ref="B2" location="GENERAL!A1" display="MENÚ PRINCIPAL" xr:uid="{3AC1DF95-9158-4B9E-8B11-E270D177FA7C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9D2B7A-E06F-47E8-90A5-FA7A10F39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A061218B-C668-4A8C-8E52-638A551375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4" id="{2089AF02-2E86-4DA5-AAE1-0A60E60C1939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18" id="{4F1B3C01-69DA-40BA-B0AC-4136DB3AFCA4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D441165B-5DED-4921-829A-638BA92AAA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6F4E917F-CD5F-4780-9A4F-98FB93EF78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92D6C4E8-C714-4C20-9621-D479C690D65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6B70A66B-EEBA-4FFF-97E5-C2D2C26B3A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B36C-ABC3-43DB-A25C-E865616863DA}">
  <dimension ref="A1:AA51"/>
  <sheetViews>
    <sheetView showGridLines="0" zoomScale="70" zoomScaleNormal="70" workbookViewId="0">
      <selection activeCell="B23" sqref="B23:F24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159"/>
      <c r="C6" s="88"/>
      <c r="D6" s="36"/>
      <c r="E6" s="93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159"/>
      <c r="C7" s="88"/>
      <c r="D7" s="36"/>
      <c r="E7" s="93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159"/>
      <c r="C8" s="88"/>
      <c r="D8" s="36"/>
      <c r="E8" s="93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159"/>
      <c r="C9" s="88"/>
      <c r="D9" s="36"/>
      <c r="E9" s="93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159"/>
      <c r="C10" s="88"/>
      <c r="D10" s="36"/>
      <c r="E10" s="93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159"/>
      <c r="C11" s="88"/>
      <c r="D11" s="36"/>
      <c r="E11" s="93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159"/>
      <c r="C12" s="88"/>
      <c r="D12" s="36"/>
      <c r="E12" s="93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159"/>
      <c r="C13" s="88"/>
      <c r="D13" s="36"/>
      <c r="E13" s="93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159"/>
      <c r="C14" s="88"/>
      <c r="D14" s="36"/>
      <c r="E14" s="93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159"/>
      <c r="C15" s="88"/>
      <c r="D15" s="36"/>
      <c r="E15" s="93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159"/>
      <c r="C16" s="88"/>
      <c r="D16" s="36"/>
      <c r="E16" s="93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159"/>
      <c r="C17" s="88"/>
      <c r="D17" s="36"/>
      <c r="E17" s="93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159"/>
      <c r="C18" s="88"/>
      <c r="D18" s="36"/>
      <c r="E18" s="93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159"/>
      <c r="C19" s="88"/>
      <c r="D19" s="36"/>
      <c r="E19" s="93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159"/>
      <c r="C20" s="88"/>
      <c r="D20" s="36"/>
      <c r="E20" s="93"/>
      <c r="F20" s="36"/>
      <c r="R20" s="16"/>
    </row>
    <row r="21" spans="2:18" ht="19.5" customHeight="1">
      <c r="B21" s="159"/>
      <c r="C21" s="88"/>
      <c r="D21" s="36"/>
      <c r="E21" s="93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159"/>
      <c r="C22" s="88"/>
      <c r="D22" s="36"/>
      <c r="E22" s="93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159"/>
      <c r="C23" s="88"/>
      <c r="D23" s="36"/>
      <c r="E23" s="93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224" priority="3" operator="containsText" text="GES_NCC">
      <formula>NOT(ISERROR(SEARCH("GES_NCC",D5)))</formula>
    </cfRule>
    <cfRule type="containsText" dxfId="223" priority="4" operator="containsText" text="IDENTIDA">
      <formula>NOT(ISERROR(SEARCH("IDENTIDA",D5)))</formula>
    </cfRule>
    <cfRule type="containsText" dxfId="222" priority="5" operator="containsText" text="INF_NIA">
      <formula>NOT(ISERROR(SEARCH("INF_NIA",D5)))</formula>
    </cfRule>
    <cfRule type="containsText" dxfId="221" priority="6" operator="containsText" text="CANCELADO MOVIL">
      <formula>NOT(ISERROR(SEARCH("CANCELADO MOVIL",D5)))</formula>
    </cfRule>
    <cfRule type="containsText" dxfId="220" priority="7" operator="containsText" text="CANCELADO HOGAR">
      <formula>NOT(ISERROR(SEARCH("CANCELADO HOGAR",D5)))</formula>
    </cfRule>
    <cfRule type="containsText" dxfId="219" priority="8" operator="containsText" text="RETENIDO MOVIL">
      <formula>NOT(ISERROR(SEARCH("RETENIDO MOVIL",D5)))</formula>
    </cfRule>
    <cfRule type="containsText" dxfId="218" priority="9" operator="containsText" text="RETENIDO HOGAR">
      <formula>NOT(ISERROR(SEARCH("RETENIDO HOGAR",D5)))</formula>
    </cfRule>
    <cfRule type="containsText" dxfId="217" priority="10" operator="containsText" text="MAL TRANSFERIDA">
      <formula>NOT(ISERROR(SEARCH("MAL TRANSFERIDA",D5)))</formula>
    </cfRule>
    <cfRule type="containsText" dxfId="216" priority="11" operator="containsText" text="LLAMADA CAIDA">
      <formula>NOT(ISERROR(SEARCH("LLAMADA CAIDA",D5)))</formula>
    </cfRule>
  </conditionalFormatting>
  <conditionalFormatting sqref="H11">
    <cfRule type="iconSet" priority="1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{84411737-3B1A-478A-9482-CEDFE327290D}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{55A79E39-54DC-4682-AE08-14B1E8582441}</x14:id>
        </ext>
      </extLst>
    </cfRule>
  </conditionalFormatting>
  <conditionalFormatting sqref="K11">
    <cfRule type="iconSet" priority="1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3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1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{DB9878A7-0423-40BB-B64F-0646BBE6532D}</x14:id>
        </ext>
      </extLst>
    </cfRule>
  </conditionalFormatting>
  <conditionalFormatting sqref="U5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{7801563A-53F1-4ADF-974D-8A395AF52A79}</x14:id>
        </ext>
      </extLst>
    </cfRule>
  </conditionalFormatting>
  <conditionalFormatting sqref="V5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{E1350DE5-EA60-4F21-B0DA-D5905269BAF5}</x14:id>
        </ext>
      </extLst>
    </cfRule>
  </conditionalFormatting>
  <conditionalFormatting sqref="W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{7B493281-F43F-4F8A-9198-FC1948B79E03}</x14:id>
        </ext>
      </extLst>
    </cfRule>
  </conditionalFormatting>
  <dataValidations count="3">
    <dataValidation type="list" allowBlank="1" showInputMessage="1" showErrorMessage="1" sqref="F5:F50" xr:uid="{15F8C69C-FBE8-4E10-923E-7D6B260756C5}">
      <formula1>IF(OR(D5="CANCELADO HOGAR",D5="CANCELADO MOVIL"),$Z$5:$Z$7,"-")</formula1>
    </dataValidation>
    <dataValidation type="list" allowBlank="1" showInputMessage="1" showErrorMessage="1" sqref="E5:E50" xr:uid="{6C1B000F-2255-4A78-BBDA-A53924A93D4D}">
      <formula1>IF(OR(D5="RETENIDO HOGAR",D5="RETENIDO MOVIL"),$Z$5:$Z$7,"-")</formula1>
    </dataValidation>
    <dataValidation type="list" allowBlank="1" showInputMessage="1" showErrorMessage="1" sqref="D5:D50" xr:uid="{0142FAA8-148D-4B2C-88C3-629608EBA31D}">
      <formula1>$Y$5:$Y$13</formula1>
    </dataValidation>
  </dataValidations>
  <hyperlinks>
    <hyperlink ref="B2" location="GENERAL!A1" display="MENÚ PRINCIPAL" xr:uid="{FCE12813-BFE8-4112-B30D-749A71E3930C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411737-3B1A-478A-9482-CEDFE32729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55A79E39-54DC-4682-AE08-14B1E8582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8EBD019A-6B71-4D02-85B1-8D29D94D6AFE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30" id="{1592CFB1-5CB6-472E-97DA-0D8D9F6921D3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DB9878A7-0423-40BB-B64F-0646BBE653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7801563A-53F1-4ADF-974D-8A395AF52A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E1350DE5-EA60-4F21-B0DA-D5905269BAF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7B493281-F43F-4F8A-9198-FC1948B79E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C566-024D-4FF0-B332-6DD70D19485B}">
  <dimension ref="A1:AA51"/>
  <sheetViews>
    <sheetView showGridLines="0" zoomScale="70" zoomScaleNormal="70" workbookViewId="0">
      <selection activeCell="B7" sqref="B7:F25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159"/>
      <c r="C7" s="88"/>
      <c r="D7" s="36"/>
      <c r="E7" s="93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159"/>
      <c r="C8" s="88"/>
      <c r="D8" s="36"/>
      <c r="E8" s="93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159"/>
      <c r="C9" s="88"/>
      <c r="D9" s="36"/>
      <c r="E9" s="93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159"/>
      <c r="C10" s="88"/>
      <c r="D10" s="36"/>
      <c r="E10" s="93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159"/>
      <c r="C11" s="88"/>
      <c r="D11" s="36"/>
      <c r="E11" s="93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159"/>
      <c r="C12" s="88"/>
      <c r="D12" s="36"/>
      <c r="E12" s="93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159"/>
      <c r="C13" s="88"/>
      <c r="D13" s="36"/>
      <c r="E13" s="93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159"/>
      <c r="C14" s="88"/>
      <c r="D14" s="36"/>
      <c r="E14" s="93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159"/>
      <c r="C15" s="88"/>
      <c r="D15" s="36"/>
      <c r="E15" s="93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159"/>
      <c r="C16" s="88"/>
      <c r="D16" s="36"/>
      <c r="E16" s="93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159"/>
      <c r="C17" s="88"/>
      <c r="D17" s="36"/>
      <c r="E17" s="93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159"/>
      <c r="C18" s="88"/>
      <c r="D18" s="36"/>
      <c r="E18" s="93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159"/>
      <c r="C19" s="88"/>
      <c r="D19" s="36"/>
      <c r="E19" s="93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159"/>
      <c r="C20" s="88"/>
      <c r="D20" s="36"/>
      <c r="E20" s="93"/>
      <c r="F20" s="36"/>
      <c r="R20" s="16"/>
    </row>
    <row r="21" spans="2:18" ht="19.5" customHeight="1">
      <c r="B21" s="159"/>
      <c r="C21" s="88"/>
      <c r="D21" s="36"/>
      <c r="E21" s="93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159"/>
      <c r="C22" s="88"/>
      <c r="D22" s="36"/>
      <c r="E22" s="93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159"/>
      <c r="C23" s="88"/>
      <c r="D23" s="36"/>
      <c r="E23" s="93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159"/>
      <c r="C24" s="88"/>
      <c r="D24" s="36"/>
      <c r="E24" s="93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215" priority="2" operator="containsText" text="GES_NCC">
      <formula>NOT(ISERROR(SEARCH("GES_NCC",D5)))</formula>
    </cfRule>
    <cfRule type="containsText" dxfId="214" priority="3" operator="containsText" text="IDENTIDA">
      <formula>NOT(ISERROR(SEARCH("IDENTIDA",D5)))</formula>
    </cfRule>
    <cfRule type="containsText" dxfId="213" priority="4" operator="containsText" text="INF_NIA">
      <formula>NOT(ISERROR(SEARCH("INF_NIA",D5)))</formula>
    </cfRule>
    <cfRule type="containsText" dxfId="212" priority="5" operator="containsText" text="CANCELADO MOVIL">
      <formula>NOT(ISERROR(SEARCH("CANCELADO MOVIL",D5)))</formula>
    </cfRule>
    <cfRule type="containsText" dxfId="211" priority="6" operator="containsText" text="CANCELADO HOGAR">
      <formula>NOT(ISERROR(SEARCH("CANCELADO HOGAR",D5)))</formula>
    </cfRule>
    <cfRule type="containsText" dxfId="210" priority="7" operator="containsText" text="RETENIDO MOVIL">
      <formula>NOT(ISERROR(SEARCH("RETENIDO MOVIL",D5)))</formula>
    </cfRule>
    <cfRule type="containsText" dxfId="209" priority="8" operator="containsText" text="RETENIDO HOGAR">
      <formula>NOT(ISERROR(SEARCH("RETENIDO HOGAR",D5)))</formula>
    </cfRule>
    <cfRule type="containsText" dxfId="208" priority="9" operator="containsText" text="MAL TRANSFERIDA">
      <formula>NOT(ISERROR(SEARCH("MAL TRANSFERIDA",D5)))</formula>
    </cfRule>
    <cfRule type="containsText" dxfId="207" priority="10" operator="containsText" text="LLAMADA CAIDA">
      <formula>NOT(ISERROR(SEARCH("LLAMADA CAIDA",D5)))</formula>
    </cfRule>
  </conditionalFormatting>
  <conditionalFormatting sqref="H11">
    <cfRule type="iconSet" priority="13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{5C515276-CE96-4B32-AFA1-D8BA800DAB70}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{30DC8147-68F9-4A34-86C6-58FC9773E14C}</x14:id>
        </ext>
      </extLst>
    </cfRule>
  </conditionalFormatting>
  <conditionalFormatting sqref="K11">
    <cfRule type="iconSet" priority="12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30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14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{F5840A96-031E-4A12-9731-31A53D838A42}</x14:id>
        </ext>
      </extLst>
    </cfRule>
  </conditionalFormatting>
  <conditionalFormatting sqref="U5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{B74EAA0C-4BCD-4F90-A21C-29A24046CB2A}</x14:id>
        </ext>
      </extLst>
    </cfRule>
  </conditionalFormatting>
  <conditionalFormatting sqref="V5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{9743BD3A-80A9-4D39-8BD4-8E56C6393711}</x14:id>
        </ext>
      </extLst>
    </cfRule>
  </conditionalFormatting>
  <conditionalFormatting sqref="W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{7B7BDDF4-D5FB-4996-8AB1-8D71769DE9F7}</x14:id>
        </ext>
      </extLst>
    </cfRule>
  </conditionalFormatting>
  <dataValidations count="3">
    <dataValidation type="list" allowBlank="1" showInputMessage="1" showErrorMessage="1" sqref="D5:D50" xr:uid="{22F50F3A-ECF5-4B22-B2E3-D9AD11E9A4FF}">
      <formula1>$Y$5:$Y$13</formula1>
    </dataValidation>
    <dataValidation type="list" allowBlank="1" showInputMessage="1" showErrorMessage="1" sqref="E5:E50" xr:uid="{E3B5B328-77CF-4E5F-9351-2091478C7A69}">
      <formula1>IF(OR(D5="RETENIDO HOGAR",D5="RETENIDO MOVIL"),$Z$5:$Z$7,"-")</formula1>
    </dataValidation>
    <dataValidation type="list" allowBlank="1" showInputMessage="1" showErrorMessage="1" sqref="F5:F50" xr:uid="{FA34B3F0-E6A0-4DB2-954A-DAF61433F11D}">
      <formula1>IF(OR(D5="CANCELADO HOGAR",D5="CANCELADO MOVIL"),$Z$5:$Z$7,"-")</formula1>
    </dataValidation>
  </dataValidations>
  <hyperlinks>
    <hyperlink ref="B2" location="GENERAL!A1" display="MENÚ PRINCIPAL" xr:uid="{99EA3C1F-25A8-4D7E-A1F2-71D0D4A03942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515276-CE96-4B32-AFA1-D8BA800DAB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30DC8147-68F9-4A34-86C6-58FC9773E1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11" id="{82677DA9-C2F3-401E-A409-61C0DE66E815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9" id="{0A47BE21-3609-438E-A27C-0A6A2895CD78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F5840A96-031E-4A12-9731-31A53D838A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B74EAA0C-4BCD-4F90-A21C-29A24046CB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9743BD3A-80A9-4D39-8BD4-8E56C639371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7B7BDDF4-D5FB-4996-8AB1-8D71769DE9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1093-A08C-429D-B286-A951F232304A}">
  <dimension ref="A1:AA51"/>
  <sheetViews>
    <sheetView showGridLines="0" zoomScale="70" zoomScaleNormal="70" workbookViewId="0">
      <selection activeCell="I25" sqref="I25:Q29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206" priority="11" operator="containsText" text="GES_NCC">
      <formula>NOT(ISERROR(SEARCH("GES_NCC",D5)))</formula>
    </cfRule>
    <cfRule type="containsText" dxfId="205" priority="12" operator="containsText" text="IDENTIDA">
      <formula>NOT(ISERROR(SEARCH("IDENTIDA",D5)))</formula>
    </cfRule>
    <cfRule type="containsText" dxfId="204" priority="13" operator="containsText" text="INF_NIA">
      <formula>NOT(ISERROR(SEARCH("INF_NIA",D5)))</formula>
    </cfRule>
    <cfRule type="containsText" dxfId="203" priority="14" operator="containsText" text="CANCELADO MOVIL">
      <formula>NOT(ISERROR(SEARCH("CANCELADO MOVIL",D5)))</formula>
    </cfRule>
    <cfRule type="containsText" dxfId="202" priority="15" operator="containsText" text="CANCELADO HOGAR">
      <formula>NOT(ISERROR(SEARCH("CANCELADO HOGAR",D5)))</formula>
    </cfRule>
    <cfRule type="containsText" dxfId="201" priority="16" operator="containsText" text="RETENIDO MOVIL">
      <formula>NOT(ISERROR(SEARCH("RETENIDO MOVIL",D5)))</formula>
    </cfRule>
    <cfRule type="containsText" dxfId="200" priority="17" operator="containsText" text="RETENIDO HOGAR">
      <formula>NOT(ISERROR(SEARCH("RETENIDO HOGAR",D5)))</formula>
    </cfRule>
    <cfRule type="containsText" dxfId="199" priority="18" operator="containsText" text="MAL TRANSFERIDA">
      <formula>NOT(ISERROR(SEARCH("MAL TRANSFERIDA",D5)))</formula>
    </cfRule>
    <cfRule type="containsText" dxfId="198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{66473F52-7C44-4B5A-996F-AD83CFBF2C85}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{D61E5E61-9CBC-4593-B942-2B87BA45FF2E}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{390E3F9A-8143-4E2C-A947-10A95F87EAF2}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{BA32EDD2-4DD6-44B1-A9CE-F368DB4C480C}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{549EFC74-DBCD-499F-98F8-0F347DC299F6}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{32CA5B51-9412-44AE-94A4-368895344A39}</x14:id>
        </ext>
      </extLst>
    </cfRule>
  </conditionalFormatting>
  <dataValidations count="3">
    <dataValidation type="list" allowBlank="1" showInputMessage="1" showErrorMessage="1" sqref="F5:F50" xr:uid="{28966E29-43B4-4845-BDDD-BFEF3C4AAC63}">
      <formula1>IF(OR(D5="CANCELADO HOGAR",D5="CANCELADO MOVIL"),$Z$5:$Z$7,"-")</formula1>
    </dataValidation>
    <dataValidation type="list" allowBlank="1" showInputMessage="1" showErrorMessage="1" sqref="E5:E50" xr:uid="{7C59DD46-0E70-43BA-9B80-36D0FD913CD2}">
      <formula1>IF(OR(D5="RETENIDO HOGAR",D5="RETENIDO MOVIL"),$Z$5:$Z$7,"-")</formula1>
    </dataValidation>
    <dataValidation type="list" allowBlank="1" showInputMessage="1" showErrorMessage="1" sqref="D5:D50" xr:uid="{ECF96186-B7AB-49C4-8ADE-F165B7676311}">
      <formula1>$Y$5:$Y$13</formula1>
    </dataValidation>
  </dataValidations>
  <hyperlinks>
    <hyperlink ref="B2" location="GENERAL!A1" display="MENÚ PRINCIPAL" xr:uid="{6F1C922B-8E2A-4FFD-9D1F-1FD0AA9E4C59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473F52-7C44-4B5A-996F-AD83CFBF2C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D61E5E61-9CBC-4593-B942-2B87BA45FF2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DB89B630-EAFA-4BA7-9F8A-4FF4C991ED79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BB6A29E7-A7D3-4B3B-8D1C-F6D855DC108F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390E3F9A-8143-4E2C-A947-10A95F87E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BA32EDD2-4DD6-44B1-A9CE-F368DB4C48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549EFC74-DBCD-499F-98F8-0F347DC299F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32CA5B51-9412-44AE-94A4-368895344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D387-5BE8-49C9-9DEE-ED7A40140754}">
  <dimension ref="A1:AA51"/>
  <sheetViews>
    <sheetView showGridLines="0" zoomScale="70" zoomScaleNormal="70" workbookViewId="0">
      <selection activeCell="I25" sqref="I25:Q29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197" priority="11" operator="containsText" text="GES_NCC">
      <formula>NOT(ISERROR(SEARCH("GES_NCC",D5)))</formula>
    </cfRule>
    <cfRule type="containsText" dxfId="196" priority="12" operator="containsText" text="IDENTIDA">
      <formula>NOT(ISERROR(SEARCH("IDENTIDA",D5)))</formula>
    </cfRule>
    <cfRule type="containsText" dxfId="195" priority="13" operator="containsText" text="INF_NIA">
      <formula>NOT(ISERROR(SEARCH("INF_NIA",D5)))</formula>
    </cfRule>
    <cfRule type="containsText" dxfId="194" priority="14" operator="containsText" text="CANCELADO MOVIL">
      <formula>NOT(ISERROR(SEARCH("CANCELADO MOVIL",D5)))</formula>
    </cfRule>
    <cfRule type="containsText" dxfId="193" priority="15" operator="containsText" text="CANCELADO HOGAR">
      <formula>NOT(ISERROR(SEARCH("CANCELADO HOGAR",D5)))</formula>
    </cfRule>
    <cfRule type="containsText" dxfId="192" priority="16" operator="containsText" text="RETENIDO MOVIL">
      <formula>NOT(ISERROR(SEARCH("RETENIDO MOVIL",D5)))</formula>
    </cfRule>
    <cfRule type="containsText" dxfId="191" priority="17" operator="containsText" text="RETENIDO HOGAR">
      <formula>NOT(ISERROR(SEARCH("RETENIDO HOGAR",D5)))</formula>
    </cfRule>
    <cfRule type="containsText" dxfId="190" priority="18" operator="containsText" text="MAL TRANSFERIDA">
      <formula>NOT(ISERROR(SEARCH("MAL TRANSFERIDA",D5)))</formula>
    </cfRule>
    <cfRule type="containsText" dxfId="189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{A4891290-70B2-4E6D-8A5D-E3C39CE4FB49}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{E3DEC457-EE0A-4EA7-8AC5-E287DB576A69}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{E006D5B5-23B0-4CEC-9DC1-33DAE97A4818}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{D49B0944-64B7-48EC-ABE4-63E2BBAD7E9C}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{BE6DDC98-F87F-4D41-9C0E-00735E1BFCA1}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{E0FC12E2-7481-4124-AB2A-473A10E548C0}</x14:id>
        </ext>
      </extLst>
    </cfRule>
  </conditionalFormatting>
  <dataValidations count="3">
    <dataValidation type="list" allowBlank="1" showInputMessage="1" showErrorMessage="1" sqref="D5:D50" xr:uid="{737AF63C-5CCA-42BF-84DF-441432ECAC5A}">
      <formula1>$Y$5:$Y$13</formula1>
    </dataValidation>
    <dataValidation type="list" allowBlank="1" showInputMessage="1" showErrorMessage="1" sqref="E5:E50" xr:uid="{EFE1FD9C-C3F4-4FE0-B56D-8304F6124EE2}">
      <formula1>IF(OR(D5="RETENIDO HOGAR",D5="RETENIDO MOVIL"),$Z$5:$Z$7,"-")</formula1>
    </dataValidation>
    <dataValidation type="list" allowBlank="1" showInputMessage="1" showErrorMessage="1" sqref="F5:F50" xr:uid="{9B4F994E-98A7-4C91-A867-11C11E97ED56}">
      <formula1>IF(OR(D5="CANCELADO HOGAR",D5="CANCELADO MOVIL"),$Z$5:$Z$7,"-")</formula1>
    </dataValidation>
  </dataValidations>
  <hyperlinks>
    <hyperlink ref="B2" location="GENERAL!A1" display="MENÚ PRINCIPAL" xr:uid="{AC92995C-C9D0-4615-ADBC-9412F247C5E4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891290-70B2-4E6D-8A5D-E3C39CE4FB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E3DEC457-EE0A-4EA7-8AC5-E287DB576A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D03E5125-13B0-432A-B943-B1998C42B761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961A3099-3598-4305-B1DA-E8611B254DEE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E006D5B5-23B0-4CEC-9DC1-33DAE97A48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D49B0944-64B7-48EC-ABE4-63E2BBAD7E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BE6DDC98-F87F-4D41-9C0E-00735E1BFCA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E0FC12E2-7481-4124-AB2A-473A10E548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FDFC-A182-43DE-A5A6-7CE046F3DCEA}">
  <dimension ref="A1:AA51"/>
  <sheetViews>
    <sheetView showGridLines="0" zoomScale="70" zoomScaleNormal="70" workbookViewId="0">
      <selection activeCell="E22" sqref="E22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188" priority="11" operator="containsText" text="GES_NCC">
      <formula>NOT(ISERROR(SEARCH("GES_NCC",D5)))</formula>
    </cfRule>
    <cfRule type="containsText" dxfId="187" priority="12" operator="containsText" text="IDENTIDA">
      <formula>NOT(ISERROR(SEARCH("IDENTIDA",D5)))</formula>
    </cfRule>
    <cfRule type="containsText" dxfId="186" priority="13" operator="containsText" text="INF_NIA">
      <formula>NOT(ISERROR(SEARCH("INF_NIA",D5)))</formula>
    </cfRule>
    <cfRule type="containsText" dxfId="185" priority="14" operator="containsText" text="CANCELADO MOVIL">
      <formula>NOT(ISERROR(SEARCH("CANCELADO MOVIL",D5)))</formula>
    </cfRule>
    <cfRule type="containsText" dxfId="184" priority="15" operator="containsText" text="CANCELADO HOGAR">
      <formula>NOT(ISERROR(SEARCH("CANCELADO HOGAR",D5)))</formula>
    </cfRule>
    <cfRule type="containsText" dxfId="183" priority="16" operator="containsText" text="RETENIDO MOVIL">
      <formula>NOT(ISERROR(SEARCH("RETENIDO MOVIL",D5)))</formula>
    </cfRule>
    <cfRule type="containsText" dxfId="182" priority="17" operator="containsText" text="RETENIDO HOGAR">
      <formula>NOT(ISERROR(SEARCH("RETENIDO HOGAR",D5)))</formula>
    </cfRule>
    <cfRule type="containsText" dxfId="181" priority="18" operator="containsText" text="MAL TRANSFERIDA">
      <formula>NOT(ISERROR(SEARCH("MAL TRANSFERIDA",D5)))</formula>
    </cfRule>
    <cfRule type="containsText" dxfId="180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{22D7B07A-AD82-44BB-94D5-CDDD6B9A5BCC}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{EF8EF1A6-B7FA-4848-9A5C-1F1AC1D5A2C3}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{F70536D8-8D1B-4D3A-A452-F8975E1234EA}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{0A048465-9F51-4691-A0EF-5D78B38ACCF0}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{857C02E5-D787-4724-8120-1ED22E390A47}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{1033CEAA-D585-42FB-8DA6-3F2B6AAE754A}</x14:id>
        </ext>
      </extLst>
    </cfRule>
  </conditionalFormatting>
  <dataValidations count="3">
    <dataValidation type="list" allowBlank="1" showInputMessage="1" showErrorMessage="1" sqref="F5:F50" xr:uid="{AE29A907-CDD2-4ED0-AB8D-06A92E15790E}">
      <formula1>IF(OR(D5="CANCELADO HOGAR",D5="CANCELADO MOVIL"),$Z$5:$Z$7,"-")</formula1>
    </dataValidation>
    <dataValidation type="list" allowBlank="1" showInputMessage="1" showErrorMessage="1" sqref="E5:E50" xr:uid="{78EDD685-E56E-4051-9DC8-CEE935D11B67}">
      <formula1>IF(OR(D5="RETENIDO HOGAR",D5="RETENIDO MOVIL"),$Z$5:$Z$7,"-")</formula1>
    </dataValidation>
    <dataValidation type="list" allowBlank="1" showInputMessage="1" showErrorMessage="1" sqref="D5:D50" xr:uid="{5DAC49CB-F365-423B-A7FB-ED0C81C9FCB0}">
      <formula1>$Y$5:$Y$13</formula1>
    </dataValidation>
  </dataValidations>
  <hyperlinks>
    <hyperlink ref="B2" location="GENERAL!A1" display="MENÚ PRINCIPAL" xr:uid="{927C376F-CBFB-47D1-9E70-F99C24FACEFA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D7B07A-AD82-44BB-94D5-CDDD6B9A5B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EF8EF1A6-B7FA-4848-9A5C-1F1AC1D5A2C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F4A4864C-95B2-467B-955E-E8135A28498A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CF097A69-2533-4669-A710-887714B00419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F70536D8-8D1B-4D3A-A452-F8975E1234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0A048465-9F51-4691-A0EF-5D78B38ACC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857C02E5-D787-4724-8120-1ED22E390A4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1033CEAA-D585-42FB-8DA6-3F2B6AAE75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9B34-CBED-42BD-A27F-09B17742B61B}">
  <dimension ref="A1:AA51"/>
  <sheetViews>
    <sheetView showGridLines="0" zoomScale="70" zoomScaleNormal="70" workbookViewId="0">
      <selection activeCell="I25" sqref="I25:Q29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179" priority="11" operator="containsText" text="GES_NCC">
      <formula>NOT(ISERROR(SEARCH("GES_NCC",D5)))</formula>
    </cfRule>
    <cfRule type="containsText" dxfId="178" priority="12" operator="containsText" text="IDENTIDA">
      <formula>NOT(ISERROR(SEARCH("IDENTIDA",D5)))</formula>
    </cfRule>
    <cfRule type="containsText" dxfId="177" priority="13" operator="containsText" text="INF_NIA">
      <formula>NOT(ISERROR(SEARCH("INF_NIA",D5)))</formula>
    </cfRule>
    <cfRule type="containsText" dxfId="176" priority="14" operator="containsText" text="CANCELADO MOVIL">
      <formula>NOT(ISERROR(SEARCH("CANCELADO MOVIL",D5)))</formula>
    </cfRule>
    <cfRule type="containsText" dxfId="175" priority="15" operator="containsText" text="CANCELADO HOGAR">
      <formula>NOT(ISERROR(SEARCH("CANCELADO HOGAR",D5)))</formula>
    </cfRule>
    <cfRule type="containsText" dxfId="174" priority="16" operator="containsText" text="RETENIDO MOVIL">
      <formula>NOT(ISERROR(SEARCH("RETENIDO MOVIL",D5)))</formula>
    </cfRule>
    <cfRule type="containsText" dxfId="173" priority="17" operator="containsText" text="RETENIDO HOGAR">
      <formula>NOT(ISERROR(SEARCH("RETENIDO HOGAR",D5)))</formula>
    </cfRule>
    <cfRule type="containsText" dxfId="172" priority="18" operator="containsText" text="MAL TRANSFERIDA">
      <formula>NOT(ISERROR(SEARCH("MAL TRANSFERIDA",D5)))</formula>
    </cfRule>
    <cfRule type="containsText" dxfId="171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{459B326E-517F-4D0A-94AC-C37896221659}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{64F6A486-6E27-4F03-B615-47DA1BB70820}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{A26F24A4-1371-46FE-8941-5BC827DFC073}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{DDDD517A-7CFB-4A8F-9C0A-19DD4CF63710}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{7996F974-BA95-4EDB-9EDE-FD64636DDF4B}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{B678C452-31D0-4838-8388-E91B3CF77A6F}</x14:id>
        </ext>
      </extLst>
    </cfRule>
  </conditionalFormatting>
  <dataValidations count="3">
    <dataValidation type="list" allowBlank="1" showInputMessage="1" showErrorMessage="1" sqref="D5:D50" xr:uid="{5348EEC5-2165-4793-A9AA-97506B8F3649}">
      <formula1>$Y$5:$Y$13</formula1>
    </dataValidation>
    <dataValidation type="list" allowBlank="1" showInputMessage="1" showErrorMessage="1" sqref="E5:E50" xr:uid="{39A98EC0-E0C3-4DD9-92BD-61906CC2CCB8}">
      <formula1>IF(OR(D5="RETENIDO HOGAR",D5="RETENIDO MOVIL"),$Z$5:$Z$7,"-")</formula1>
    </dataValidation>
    <dataValidation type="list" allowBlank="1" showInputMessage="1" showErrorMessage="1" sqref="F5:F50" xr:uid="{E8C9BD63-2A0C-4310-A1B6-7238C674FA32}">
      <formula1>IF(OR(D5="CANCELADO HOGAR",D5="CANCELADO MOVIL"),$Z$5:$Z$7,"-")</formula1>
    </dataValidation>
  </dataValidations>
  <hyperlinks>
    <hyperlink ref="B2" location="GENERAL!A1" display="MENÚ PRINCIPAL" xr:uid="{28BAB15E-6202-44A1-AA33-87C4B39EC8E2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9B326E-517F-4D0A-94AC-C37896221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64F6A486-6E27-4F03-B615-47DA1BB708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2D0B288F-F2E4-4A7B-AC67-B32D956E8F7B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BE039D29-8AAA-4868-9ABE-4B0F63BAAC45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A26F24A4-1371-46FE-8941-5BC827DFC0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DDDD517A-7CFB-4A8F-9C0A-19DD4CF637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7996F974-BA95-4EDB-9EDE-FD64636DDF4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B678C452-31D0-4838-8388-E91B3CF77A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90FB-9A04-4FA9-B6B1-AEB88B82E80E}">
  <dimension ref="A1:AA51"/>
  <sheetViews>
    <sheetView showGridLines="0" zoomScale="70" zoomScaleNormal="70" workbookViewId="0">
      <selection activeCell="I25" sqref="I25:Q29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170" priority="11" operator="containsText" text="GES_NCC">
      <formula>NOT(ISERROR(SEARCH("GES_NCC",D5)))</formula>
    </cfRule>
    <cfRule type="containsText" dxfId="169" priority="12" operator="containsText" text="IDENTIDA">
      <formula>NOT(ISERROR(SEARCH("IDENTIDA",D5)))</formula>
    </cfRule>
    <cfRule type="containsText" dxfId="168" priority="13" operator="containsText" text="INF_NIA">
      <formula>NOT(ISERROR(SEARCH("INF_NIA",D5)))</formula>
    </cfRule>
    <cfRule type="containsText" dxfId="167" priority="14" operator="containsText" text="CANCELADO MOVIL">
      <formula>NOT(ISERROR(SEARCH("CANCELADO MOVIL",D5)))</formula>
    </cfRule>
    <cfRule type="containsText" dxfId="166" priority="15" operator="containsText" text="CANCELADO HOGAR">
      <formula>NOT(ISERROR(SEARCH("CANCELADO HOGAR",D5)))</formula>
    </cfRule>
    <cfRule type="containsText" dxfId="165" priority="16" operator="containsText" text="RETENIDO MOVIL">
      <formula>NOT(ISERROR(SEARCH("RETENIDO MOVIL",D5)))</formula>
    </cfRule>
    <cfRule type="containsText" dxfId="164" priority="17" operator="containsText" text="RETENIDO HOGAR">
      <formula>NOT(ISERROR(SEARCH("RETENIDO HOGAR",D5)))</formula>
    </cfRule>
    <cfRule type="containsText" dxfId="163" priority="18" operator="containsText" text="MAL TRANSFERIDA">
      <formula>NOT(ISERROR(SEARCH("MAL TRANSFERIDA",D5)))</formula>
    </cfRule>
    <cfRule type="containsText" dxfId="162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{F0CEDCC1-4B89-4A1B-A150-61F92F6D4E6F}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{DFAB70D9-C207-4540-AE21-DEC4229A9931}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{4D8E3AAA-0C83-419A-B3FB-C53A55EC2B73}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{687EE2C8-124C-4CDC-B358-DE4A6B45E4DB}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{60CE659A-D62C-4BE8-B461-23278AB35F20}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{8CCA70B7-B7E8-44B2-A1DF-81C16535AD75}</x14:id>
        </ext>
      </extLst>
    </cfRule>
  </conditionalFormatting>
  <dataValidations count="3">
    <dataValidation type="list" allowBlank="1" showInputMessage="1" showErrorMessage="1" sqref="F5:F50" xr:uid="{15DD0B0E-63AF-4A70-80E5-04A98120DB77}">
      <formula1>IF(OR(D5="CANCELADO HOGAR",D5="CANCELADO MOVIL"),$Z$5:$Z$7,"-")</formula1>
    </dataValidation>
    <dataValidation type="list" allowBlank="1" showInputMessage="1" showErrorMessage="1" sqref="E5:E50" xr:uid="{95417CF0-A79B-4CBB-8C69-3B63072867A5}">
      <formula1>IF(OR(D5="RETENIDO HOGAR",D5="RETENIDO MOVIL"),$Z$5:$Z$7,"-")</formula1>
    </dataValidation>
    <dataValidation type="list" allowBlank="1" showInputMessage="1" showErrorMessage="1" sqref="D5:D50" xr:uid="{CB1851D0-DBD4-4352-8B09-88218BFC1D7B}">
      <formula1>$Y$5:$Y$13</formula1>
    </dataValidation>
  </dataValidations>
  <hyperlinks>
    <hyperlink ref="B2" location="GENERAL!A1" display="MENÚ PRINCIPAL" xr:uid="{AD48E489-F8EA-4FE2-AB0C-957429503049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CEDCC1-4B89-4A1B-A150-61F92F6D4E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DFAB70D9-C207-4540-AE21-DEC4229A993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88042D1F-3C57-44DC-A45A-7DB2D94B0717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1C63BADD-7637-4929-AE31-6DC77364F8CE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4D8E3AAA-0C83-419A-B3FB-C53A55EC2B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687EE2C8-124C-4CDC-B358-DE4A6B45E4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60CE659A-D62C-4BE8-B461-23278AB35F2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8CCA70B7-B7E8-44B2-A1DF-81C16535AD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57A0-49CB-4927-AF9D-004D8533E9EC}">
  <dimension ref="A1:AA51"/>
  <sheetViews>
    <sheetView showGridLines="0" zoomScale="70" zoomScaleNormal="70" workbookViewId="0">
      <selection activeCell="E29" sqref="E29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161" priority="11" operator="containsText" text="GES_NCC">
      <formula>NOT(ISERROR(SEARCH("GES_NCC",D5)))</formula>
    </cfRule>
    <cfRule type="containsText" dxfId="160" priority="12" operator="containsText" text="IDENTIDA">
      <formula>NOT(ISERROR(SEARCH("IDENTIDA",D5)))</formula>
    </cfRule>
    <cfRule type="containsText" dxfId="159" priority="13" operator="containsText" text="INF_NIA">
      <formula>NOT(ISERROR(SEARCH("INF_NIA",D5)))</formula>
    </cfRule>
    <cfRule type="containsText" dxfId="158" priority="14" operator="containsText" text="CANCELADO MOVIL">
      <formula>NOT(ISERROR(SEARCH("CANCELADO MOVIL",D5)))</formula>
    </cfRule>
    <cfRule type="containsText" dxfId="157" priority="15" operator="containsText" text="CANCELADO HOGAR">
      <formula>NOT(ISERROR(SEARCH("CANCELADO HOGAR",D5)))</formula>
    </cfRule>
    <cfRule type="containsText" dxfId="156" priority="16" operator="containsText" text="RETENIDO MOVIL">
      <formula>NOT(ISERROR(SEARCH("RETENIDO MOVIL",D5)))</formula>
    </cfRule>
    <cfRule type="containsText" dxfId="155" priority="17" operator="containsText" text="RETENIDO HOGAR">
      <formula>NOT(ISERROR(SEARCH("RETENIDO HOGAR",D5)))</formula>
    </cfRule>
    <cfRule type="containsText" dxfId="154" priority="18" operator="containsText" text="MAL TRANSFERIDA">
      <formula>NOT(ISERROR(SEARCH("MAL TRANSFERIDA",D5)))</formula>
    </cfRule>
    <cfRule type="containsText" dxfId="153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{BFC3EB93-922D-4F20-BF6B-2738D16E5B9F}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{89504840-12AB-4BF1-A5B6-D97C4813CEE8}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{88E4EDC5-6BDE-450B-927C-6DF29EF8A36B}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{9C70D4CF-E01E-4DC2-9538-B49CE29FBFB5}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{CDAF9DF0-E7B7-43FA-8108-1149B5381E54}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{D26D6464-56E5-40BA-94FD-16878BA896CF}</x14:id>
        </ext>
      </extLst>
    </cfRule>
  </conditionalFormatting>
  <dataValidations count="3">
    <dataValidation type="list" allowBlank="1" showInputMessage="1" showErrorMessage="1" sqref="D5:D50" xr:uid="{C37877D4-6507-419E-B5E2-4994D5A152A8}">
      <formula1>$Y$5:$Y$13</formula1>
    </dataValidation>
    <dataValidation type="list" allowBlank="1" showInputMessage="1" showErrorMessage="1" sqref="E5:E50" xr:uid="{446F305D-5CCE-4A60-9A02-48C1DCD6356B}">
      <formula1>IF(OR(D5="RETENIDO HOGAR",D5="RETENIDO MOVIL"),$Z$5:$Z$7,"-")</formula1>
    </dataValidation>
    <dataValidation type="list" allowBlank="1" showInputMessage="1" showErrorMessage="1" sqref="F5:F50" xr:uid="{A9455449-03DE-4D18-AFC9-9ECB7BDAFCF7}">
      <formula1>IF(OR(D5="CANCELADO HOGAR",D5="CANCELADO MOVIL"),$Z$5:$Z$7,"-")</formula1>
    </dataValidation>
  </dataValidations>
  <hyperlinks>
    <hyperlink ref="B2" location="GENERAL!A1" display="MENÚ PRINCIPAL" xr:uid="{A70A77BD-5F36-4726-A354-A4E79E8EE1C7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C3EB93-922D-4F20-BF6B-2738D16E5B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89504840-12AB-4BF1-A5B6-D97C4813CE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6334F972-6FAF-48AC-B591-F544CF2DA699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9F5F486A-A880-4054-B4C0-280C03729185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88E4EDC5-6BDE-450B-927C-6DF29EF8A3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9C70D4CF-E01E-4DC2-9538-B49CE29FB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CDAF9DF0-E7B7-43FA-8108-1149B5381E5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D26D6464-56E5-40BA-94FD-16878BA896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8F79-022C-40FE-8F99-ED3F1AECC7E9}">
  <dimension ref="A1:AA51"/>
  <sheetViews>
    <sheetView showGridLines="0" zoomScale="70" zoomScaleNormal="70" workbookViewId="0">
      <selection activeCell="O2" sqref="O2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152" priority="1" operator="containsText" text="GES_NCC">
      <formula>NOT(ISERROR(SEARCH("GES_NCC",D5)))</formula>
    </cfRule>
    <cfRule type="containsText" dxfId="151" priority="2" operator="containsText" text="IDENTIDA">
      <formula>NOT(ISERROR(SEARCH("IDENTIDA",D5)))</formula>
    </cfRule>
    <cfRule type="containsText" dxfId="150" priority="3" operator="containsText" text="INF_NIA">
      <formula>NOT(ISERROR(SEARCH("INF_NIA",D5)))</formula>
    </cfRule>
    <cfRule type="containsText" dxfId="149" priority="4" operator="containsText" text="CANCELADO MOVIL">
      <formula>NOT(ISERROR(SEARCH("CANCELADO MOVIL",D5)))</formula>
    </cfRule>
    <cfRule type="containsText" dxfId="148" priority="5" operator="containsText" text="CANCELADO HOGAR">
      <formula>NOT(ISERROR(SEARCH("CANCELADO HOGAR",D5)))</formula>
    </cfRule>
    <cfRule type="containsText" dxfId="147" priority="6" operator="containsText" text="RETENIDO MOVIL">
      <formula>NOT(ISERROR(SEARCH("RETENIDO MOVIL",D5)))</formula>
    </cfRule>
    <cfRule type="containsText" dxfId="146" priority="7" operator="containsText" text="RETENIDO HOGAR">
      <formula>NOT(ISERROR(SEARCH("RETENIDO HOGAR",D5)))</formula>
    </cfRule>
    <cfRule type="containsText" dxfId="145" priority="8" operator="containsText" text="MAL TRANSFERIDA">
      <formula>NOT(ISERROR(SEARCH("MAL TRANSFERIDA",D5)))</formula>
    </cfRule>
    <cfRule type="containsText" dxfId="144" priority="9" operator="containsText" text="LLAMADA CAIDA">
      <formula>NOT(ISERROR(SEARCH("LLAMADA CAIDA",D5)))</formula>
    </cfRule>
  </conditionalFormatting>
  <conditionalFormatting sqref="H11">
    <cfRule type="iconSet" priority="13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{7F9BEFDD-29AF-4A59-9C29-98C4F1FE8BE4}</x14:id>
        </ext>
      </extLst>
    </cfRule>
  </conditionalFormatting>
  <conditionalFormatting sqref="I25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{FE7FC2E8-A4E1-46A4-89D8-9A6D2B903BCD}</x14:id>
        </ext>
      </extLst>
    </cfRule>
  </conditionalFormatting>
  <conditionalFormatting sqref="K11">
    <cfRule type="iconSet" priority="12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30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14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{DFE52A0F-C948-48EF-AD61-85FB5C40C9D0}</x14:id>
        </ext>
      </extLst>
    </cfRule>
  </conditionalFormatting>
  <conditionalFormatting sqref="U5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{B95351A6-5636-4CF8-A84F-85BD938E4040}</x14:id>
        </ext>
      </extLst>
    </cfRule>
  </conditionalFormatting>
  <conditionalFormatting sqref="V5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{AE02E783-00B0-4870-A6C9-0818720BDD78}</x14:id>
        </ext>
      </extLst>
    </cfRule>
  </conditionalFormatting>
  <conditionalFormatting sqref="W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{3E8350B2-64BC-4D7D-9AF1-32383749FAD6}</x14:id>
        </ext>
      </extLst>
    </cfRule>
  </conditionalFormatting>
  <dataValidations count="3">
    <dataValidation type="list" allowBlank="1" showInputMessage="1" showErrorMessage="1" sqref="F5:F50" xr:uid="{29147706-58AE-4FB3-BCD6-D6558D2A8C63}">
      <formula1>IF(OR(D5="CANCELADO HOGAR",D5="CANCELADO MOVIL"),$Z$5:$Z$7,"-")</formula1>
    </dataValidation>
    <dataValidation type="list" allowBlank="1" showInputMessage="1" showErrorMessage="1" sqref="E5:E50" xr:uid="{F26B31F0-34BC-443B-A9EB-811A09A1A2E9}">
      <formula1>IF(OR(D5="RETENIDO HOGAR",D5="RETENIDO MOVIL"),$Z$5:$Z$7,"-")</formula1>
    </dataValidation>
    <dataValidation type="list" allowBlank="1" showInputMessage="1" showErrorMessage="1" sqref="D5:D50" xr:uid="{5BEFB268-C19C-40A5-B1A9-5526A641CDAA}">
      <formula1>$Y$5:$Y$13</formula1>
    </dataValidation>
  </dataValidations>
  <hyperlinks>
    <hyperlink ref="B2" location="GENERAL!A1" display="MENÚ PRINCIPAL" xr:uid="{D14F08BA-CC44-49E3-8692-466ACE6F8BDD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9BEFDD-29AF-4A59-9C29-98C4F1FE8B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FE7FC2E8-A4E1-46A4-89D8-9A6D2B903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11" id="{ECB07481-1E2B-4FEC-BDD7-3F898FCF2741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9" id="{75F3C455-7D7E-412D-8BB0-9C8DCD66A838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DFE52A0F-C948-48EF-AD61-85FB5C40C9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B95351A6-5636-4CF8-A84F-85BD938E40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AE02E783-00B0-4870-A6C9-0818720BDD7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3E8350B2-64BC-4D7D-9AF1-32383749FA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8D52-E987-4344-89F9-0A9E7D71C157}">
  <dimension ref="A1:AA51"/>
  <sheetViews>
    <sheetView showGridLines="0" zoomScale="70" zoomScaleNormal="70" workbookViewId="0">
      <selection activeCell="I25" sqref="I25:Q29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143" priority="11" operator="containsText" text="GES_NCC">
      <formula>NOT(ISERROR(SEARCH("GES_NCC",D5)))</formula>
    </cfRule>
    <cfRule type="containsText" dxfId="142" priority="12" operator="containsText" text="IDENTIDA">
      <formula>NOT(ISERROR(SEARCH("IDENTIDA",D5)))</formula>
    </cfRule>
    <cfRule type="containsText" dxfId="141" priority="13" operator="containsText" text="INF_NIA">
      <formula>NOT(ISERROR(SEARCH("INF_NIA",D5)))</formula>
    </cfRule>
    <cfRule type="containsText" dxfId="140" priority="14" operator="containsText" text="CANCELADO MOVIL">
      <formula>NOT(ISERROR(SEARCH("CANCELADO MOVIL",D5)))</formula>
    </cfRule>
    <cfRule type="containsText" dxfId="139" priority="15" operator="containsText" text="CANCELADO HOGAR">
      <formula>NOT(ISERROR(SEARCH("CANCELADO HOGAR",D5)))</formula>
    </cfRule>
    <cfRule type="containsText" dxfId="138" priority="16" operator="containsText" text="RETENIDO MOVIL">
      <formula>NOT(ISERROR(SEARCH("RETENIDO MOVIL",D5)))</formula>
    </cfRule>
    <cfRule type="containsText" dxfId="137" priority="17" operator="containsText" text="RETENIDO HOGAR">
      <formula>NOT(ISERROR(SEARCH("RETENIDO HOGAR",D5)))</formula>
    </cfRule>
    <cfRule type="containsText" dxfId="136" priority="18" operator="containsText" text="MAL TRANSFERIDA">
      <formula>NOT(ISERROR(SEARCH("MAL TRANSFERIDA",D5)))</formula>
    </cfRule>
    <cfRule type="containsText" dxfId="135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{C640064B-91B3-4112-85DB-5A74E0B749C6}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{1F489598-1237-41F6-BFA7-FDD31CE69907}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{1DE137CD-7CDE-47BF-8E89-9E39A1BE813C}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{F44D434D-DB1E-4542-9191-663BB37A3639}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{FBABA287-4421-4719-BEE6-BBE9F97E2AC6}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{366198B8-757D-4278-9B45-EB16298C86FA}</x14:id>
        </ext>
      </extLst>
    </cfRule>
  </conditionalFormatting>
  <dataValidations count="3">
    <dataValidation type="list" allowBlank="1" showInputMessage="1" showErrorMessage="1" sqref="D5:D50" xr:uid="{A6FFB4FF-F7F4-40FC-A80C-507AD24C2526}">
      <formula1>$Y$5:$Y$13</formula1>
    </dataValidation>
    <dataValidation type="list" allowBlank="1" showInputMessage="1" showErrorMessage="1" sqref="E5:E50" xr:uid="{FDC141A6-701F-4C26-8A70-F50030A0C168}">
      <formula1>IF(OR(D5="RETENIDO HOGAR",D5="RETENIDO MOVIL"),$Z$5:$Z$7,"-")</formula1>
    </dataValidation>
    <dataValidation type="list" allowBlank="1" showInputMessage="1" showErrorMessage="1" sqref="F5:F50" xr:uid="{340FEEC7-3C10-4580-BABC-66AE672B3FBC}">
      <formula1>IF(OR(D5="CANCELADO HOGAR",D5="CANCELADO MOVIL"),$Z$5:$Z$7,"-")</formula1>
    </dataValidation>
  </dataValidations>
  <hyperlinks>
    <hyperlink ref="B2" location="GENERAL!A1" display="MENÚ PRINCIPAL" xr:uid="{B878D85D-ED28-4B2E-BAD6-5B71A73B0A90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40064B-91B3-4112-85DB-5A74E0B749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1F489598-1237-41F6-BFA7-FDD31CE699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BB4D6FE3-72CC-4112-8B9C-07A54332D5A0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5F6F6BA6-7A6B-4123-A6A0-AD7AEB0D37E9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1DE137CD-7CDE-47BF-8E89-9E39A1BE81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F44D434D-DB1E-4542-9191-663BB37A36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FBABA287-4421-4719-BEE6-BBE9F97E2AC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366198B8-757D-4278-9B45-EB16298C86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4C3F-0EFD-42AE-9F27-1FC17B5A042E}">
  <dimension ref="A1:AA51"/>
  <sheetViews>
    <sheetView showGridLines="0" zoomScale="70" zoomScaleNormal="70" workbookViewId="0">
      <selection activeCell="B6" sqref="B6:E24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134" priority="1" operator="containsText" text="GES_NCC">
      <formula>NOT(ISERROR(SEARCH("GES_NCC",D5)))</formula>
    </cfRule>
    <cfRule type="containsText" dxfId="133" priority="2" operator="containsText" text="IDENTIDA">
      <formula>NOT(ISERROR(SEARCH("IDENTIDA",D5)))</formula>
    </cfRule>
    <cfRule type="containsText" dxfId="132" priority="3" operator="containsText" text="INF_NIA">
      <formula>NOT(ISERROR(SEARCH("INF_NIA",D5)))</formula>
    </cfRule>
    <cfRule type="containsText" dxfId="131" priority="4" operator="containsText" text="CANCELADO MOVIL">
      <formula>NOT(ISERROR(SEARCH("CANCELADO MOVIL",D5)))</formula>
    </cfRule>
    <cfRule type="containsText" dxfId="130" priority="5" operator="containsText" text="CANCELADO HOGAR">
      <formula>NOT(ISERROR(SEARCH("CANCELADO HOGAR",D5)))</formula>
    </cfRule>
    <cfRule type="containsText" dxfId="129" priority="6" operator="containsText" text="RETENIDO MOVIL">
      <formula>NOT(ISERROR(SEARCH("RETENIDO MOVIL",D5)))</formula>
    </cfRule>
    <cfRule type="containsText" dxfId="128" priority="7" operator="containsText" text="RETENIDO HOGAR">
      <formula>NOT(ISERROR(SEARCH("RETENIDO HOGAR",D5)))</formula>
    </cfRule>
    <cfRule type="containsText" dxfId="127" priority="8" operator="containsText" text="MAL TRANSFERIDA">
      <formula>NOT(ISERROR(SEARCH("MAL TRANSFERIDA",D5)))</formula>
    </cfRule>
    <cfRule type="containsText" dxfId="126" priority="9" operator="containsText" text="LLAMADA CAIDA">
      <formula>NOT(ISERROR(SEARCH("LLAMADA CAIDA",D5)))</formula>
    </cfRule>
  </conditionalFormatting>
  <conditionalFormatting sqref="H11">
    <cfRule type="iconSet" priority="13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{DBB41B67-F9BC-4C2D-A407-E9CDA119A291}</x14:id>
        </ext>
      </extLst>
    </cfRule>
  </conditionalFormatting>
  <conditionalFormatting sqref="I25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{2DCE2401-55FF-400F-8144-563DC189668A}</x14:id>
        </ext>
      </extLst>
    </cfRule>
  </conditionalFormatting>
  <conditionalFormatting sqref="K11">
    <cfRule type="iconSet" priority="12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30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14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{6875B9B8-4E6A-470B-BC3D-DBBB48441229}</x14:id>
        </ext>
      </extLst>
    </cfRule>
  </conditionalFormatting>
  <conditionalFormatting sqref="U5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{DB960CBE-EB0A-4931-AF69-618BA4C97343}</x14:id>
        </ext>
      </extLst>
    </cfRule>
  </conditionalFormatting>
  <conditionalFormatting sqref="V5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{9D0C1DB4-812D-48AB-992B-E47C523B432D}</x14:id>
        </ext>
      </extLst>
    </cfRule>
  </conditionalFormatting>
  <conditionalFormatting sqref="W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{DC386A83-6ABC-4325-9DCB-60D3E162FE3C}</x14:id>
        </ext>
      </extLst>
    </cfRule>
  </conditionalFormatting>
  <dataValidations count="3">
    <dataValidation type="list" allowBlank="1" showInputMessage="1" showErrorMessage="1" sqref="F5:F50" xr:uid="{D72CFD23-3ED4-426A-8E6C-03E570BBEBC5}">
      <formula1>IF(OR(D5="CANCELADO HOGAR",D5="CANCELADO MOVIL"),$Z$5:$Z$7,"-")</formula1>
    </dataValidation>
    <dataValidation type="list" allowBlank="1" showInputMessage="1" showErrorMessage="1" sqref="E5:E50" xr:uid="{1C734262-5C4D-43C5-85BB-A95E53E0EB95}">
      <formula1>IF(OR(D5="RETENIDO HOGAR",D5="RETENIDO MOVIL"),$Z$5:$Z$7,"-")</formula1>
    </dataValidation>
    <dataValidation type="list" allowBlank="1" showInputMessage="1" showErrorMessage="1" sqref="D5:D50" xr:uid="{C3D7524C-AB57-4C5E-970D-9C829C0587A4}">
      <formula1>$Y$5:$Y$13</formula1>
    </dataValidation>
  </dataValidations>
  <hyperlinks>
    <hyperlink ref="B2" location="GENERAL!A1" display="MENÚ PRINCIPAL" xr:uid="{EA69379A-E2E7-4A17-9239-A87550502CBF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B41B67-F9BC-4C2D-A407-E9CDA119A2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2DCE2401-55FF-400F-8144-563DC1896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11" id="{E33D4776-663C-4B8E-AF08-213852C3AD02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9" id="{68E2BAF1-4FB7-47E1-949B-225DB5227F0E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6875B9B8-4E6A-470B-BC3D-DBBB484412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DB960CBE-EB0A-4931-AF69-618BA4C973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9D0C1DB4-812D-48AB-992B-E47C523B432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DC386A83-6ABC-4325-9DCB-60D3E162FE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4E75-8832-4BEE-8592-54091B3F2ED4}">
  <dimension ref="A1:AA51"/>
  <sheetViews>
    <sheetView showGridLines="0" zoomScale="70" zoomScaleNormal="70" workbookViewId="0">
      <selection activeCell="B6" sqref="B6:F25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125" priority="1" operator="containsText" text="GES_NCC">
      <formula>NOT(ISERROR(SEARCH("GES_NCC",D5)))</formula>
    </cfRule>
    <cfRule type="containsText" dxfId="124" priority="2" operator="containsText" text="IDENTIDA">
      <formula>NOT(ISERROR(SEARCH("IDENTIDA",D5)))</formula>
    </cfRule>
    <cfRule type="containsText" dxfId="123" priority="3" operator="containsText" text="INF_NIA">
      <formula>NOT(ISERROR(SEARCH("INF_NIA",D5)))</formula>
    </cfRule>
    <cfRule type="containsText" dxfId="122" priority="4" operator="containsText" text="CANCELADO MOVIL">
      <formula>NOT(ISERROR(SEARCH("CANCELADO MOVIL",D5)))</formula>
    </cfRule>
    <cfRule type="containsText" dxfId="121" priority="5" operator="containsText" text="CANCELADO HOGAR">
      <formula>NOT(ISERROR(SEARCH("CANCELADO HOGAR",D5)))</formula>
    </cfRule>
    <cfRule type="containsText" dxfId="120" priority="6" operator="containsText" text="RETENIDO MOVIL">
      <formula>NOT(ISERROR(SEARCH("RETENIDO MOVIL",D5)))</formula>
    </cfRule>
    <cfRule type="containsText" dxfId="119" priority="7" operator="containsText" text="RETENIDO HOGAR">
      <formula>NOT(ISERROR(SEARCH("RETENIDO HOGAR",D5)))</formula>
    </cfRule>
    <cfRule type="containsText" dxfId="118" priority="8" operator="containsText" text="MAL TRANSFERIDA">
      <formula>NOT(ISERROR(SEARCH("MAL TRANSFERIDA",D5)))</formula>
    </cfRule>
    <cfRule type="containsText" dxfId="117" priority="9" operator="containsText" text="LLAMADA CAIDA">
      <formula>NOT(ISERROR(SEARCH("LLAMADA CAIDA",D5)))</formula>
    </cfRule>
  </conditionalFormatting>
  <conditionalFormatting sqref="H11">
    <cfRule type="iconSet" priority="13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{296870C4-7E5E-417F-9DDE-FF82ED1F87C1}</x14:id>
        </ext>
      </extLst>
    </cfRule>
  </conditionalFormatting>
  <conditionalFormatting sqref="I25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{86091BBF-8325-4245-BD32-E7ED6C72C34C}</x14:id>
        </ext>
      </extLst>
    </cfRule>
  </conditionalFormatting>
  <conditionalFormatting sqref="K11">
    <cfRule type="iconSet" priority="12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30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14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{96F2CEE7-24E5-4646-94B3-B0B2EA5BE64A}</x14:id>
        </ext>
      </extLst>
    </cfRule>
  </conditionalFormatting>
  <conditionalFormatting sqref="U5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{7714EDAA-852D-42CC-8E94-7C73654A49C0}</x14:id>
        </ext>
      </extLst>
    </cfRule>
  </conditionalFormatting>
  <conditionalFormatting sqref="V5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{AFC12766-1500-44AF-BEA7-3DFCF6E80964}</x14:id>
        </ext>
      </extLst>
    </cfRule>
  </conditionalFormatting>
  <conditionalFormatting sqref="W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{4280903B-51B1-4513-B8D2-7AEB76873FEE}</x14:id>
        </ext>
      </extLst>
    </cfRule>
  </conditionalFormatting>
  <dataValidations count="3">
    <dataValidation type="list" allowBlank="1" showInputMessage="1" showErrorMessage="1" sqref="D5:D50" xr:uid="{0C76DD8E-C659-46F6-99BC-EC0BAA859797}">
      <formula1>$Y$5:$Y$13</formula1>
    </dataValidation>
    <dataValidation type="list" allowBlank="1" showInputMessage="1" showErrorMessage="1" sqref="E5:E50" xr:uid="{3ACE27BE-D069-4553-9341-50F0EDEF8714}">
      <formula1>IF(OR(D5="RETENIDO HOGAR",D5="RETENIDO MOVIL"),$Z$5:$Z$7,"-")</formula1>
    </dataValidation>
    <dataValidation type="list" allowBlank="1" showInputMessage="1" showErrorMessage="1" sqref="F5:F50" xr:uid="{F0C0C5F8-F6E4-4659-9004-DD426FCBC7AB}">
      <formula1>IF(OR(D5="CANCELADO HOGAR",D5="CANCELADO MOVIL"),$Z$5:$Z$7,"-")</formula1>
    </dataValidation>
  </dataValidations>
  <hyperlinks>
    <hyperlink ref="B2" location="GENERAL!A1" display="MENÚ PRINCIPAL" xr:uid="{E1F3DCF1-6FE6-46DF-85DE-8738A293DA41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6870C4-7E5E-417F-9DDE-FF82ED1F87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86091BBF-8325-4245-BD32-E7ED6C72C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11" id="{E1BFC778-D93E-4722-A4B9-0A5B4FCEAE75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9" id="{8D623E3B-5601-4DED-BADB-498BB26410E4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96F2CEE7-24E5-4646-94B3-B0B2EA5BE6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7714EDAA-852D-42CC-8E94-7C73654A49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AFC12766-1500-44AF-BEA7-3DFCF6E8096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4280903B-51B1-4513-B8D2-7AEB76873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2088-57DD-4EEA-BF30-01BF02FF7EF5}">
  <dimension ref="A1:AA51"/>
  <sheetViews>
    <sheetView showGridLines="0" zoomScale="70" zoomScaleNormal="70" workbookViewId="0">
      <selection activeCell="I25" sqref="I25:Q29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116" priority="11" operator="containsText" text="GES_NCC">
      <formula>NOT(ISERROR(SEARCH("GES_NCC",D5)))</formula>
    </cfRule>
    <cfRule type="containsText" dxfId="115" priority="12" operator="containsText" text="IDENTIDA">
      <formula>NOT(ISERROR(SEARCH("IDENTIDA",D5)))</formula>
    </cfRule>
    <cfRule type="containsText" dxfId="114" priority="13" operator="containsText" text="INF_NIA">
      <formula>NOT(ISERROR(SEARCH("INF_NIA",D5)))</formula>
    </cfRule>
    <cfRule type="containsText" dxfId="113" priority="14" operator="containsText" text="CANCELADO MOVIL">
      <formula>NOT(ISERROR(SEARCH("CANCELADO MOVIL",D5)))</formula>
    </cfRule>
    <cfRule type="containsText" dxfId="112" priority="15" operator="containsText" text="CANCELADO HOGAR">
      <formula>NOT(ISERROR(SEARCH("CANCELADO HOGAR",D5)))</formula>
    </cfRule>
    <cfRule type="containsText" dxfId="111" priority="16" operator="containsText" text="RETENIDO MOVIL">
      <formula>NOT(ISERROR(SEARCH("RETENIDO MOVIL",D5)))</formula>
    </cfRule>
    <cfRule type="containsText" dxfId="110" priority="17" operator="containsText" text="RETENIDO HOGAR">
      <formula>NOT(ISERROR(SEARCH("RETENIDO HOGAR",D5)))</formula>
    </cfRule>
    <cfRule type="containsText" dxfId="109" priority="18" operator="containsText" text="MAL TRANSFERIDA">
      <formula>NOT(ISERROR(SEARCH("MAL TRANSFERIDA",D5)))</formula>
    </cfRule>
    <cfRule type="containsText" dxfId="108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{26F2016F-B98A-46F0-83A4-7ECB9F19A009}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{E07EAE24-0F69-42AE-836B-BA3945A733D8}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{75249F02-32ED-41B1-959D-6F035D25BA0B}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{E3C5B8A6-5BDF-4D17-8E41-6DD033261243}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{4C3941C6-04BB-4481-B2CA-1E14FA83735B}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{EF635FF0-E9A9-46E6-9411-E5094B6AE9C2}</x14:id>
        </ext>
      </extLst>
    </cfRule>
  </conditionalFormatting>
  <dataValidations count="3">
    <dataValidation type="list" allowBlank="1" showInputMessage="1" showErrorMessage="1" sqref="F5:F50" xr:uid="{A5A1D126-D20D-454A-B2D7-DD917D682488}">
      <formula1>IF(OR(D5="CANCELADO HOGAR",D5="CANCELADO MOVIL"),$Z$5:$Z$7,"-")</formula1>
    </dataValidation>
    <dataValidation type="list" allowBlank="1" showInputMessage="1" showErrorMessage="1" sqref="E5:E50" xr:uid="{1262BDB9-F799-435E-8B24-457AD7FCD7DF}">
      <formula1>IF(OR(D5="RETENIDO HOGAR",D5="RETENIDO MOVIL"),$Z$5:$Z$7,"-")</formula1>
    </dataValidation>
    <dataValidation type="list" allowBlank="1" showInputMessage="1" showErrorMessage="1" sqref="D5:D50" xr:uid="{4422EFD1-104D-4C77-A57F-1D69D6254DA8}">
      <formula1>$Y$5:$Y$13</formula1>
    </dataValidation>
  </dataValidations>
  <hyperlinks>
    <hyperlink ref="B2" location="GENERAL!A1" display="MENÚ PRINCIPAL" xr:uid="{D559AF4D-D219-45D4-83F0-B888B3AA7BA7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F2016F-B98A-46F0-83A4-7ECB9F19A0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E07EAE24-0F69-42AE-836B-BA3945A733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4C1C384C-2503-432E-AC29-02DA9A67FCAF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4BFC245A-A959-4E3F-B0AD-92B795A89557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75249F02-32ED-41B1-959D-6F035D25BA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E3C5B8A6-5BDF-4D17-8E41-6DD0332612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4C3941C6-04BB-4481-B2CA-1E14FA83735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EF635FF0-E9A9-46E6-9411-E5094B6AE9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B22C-9E4E-402C-93BE-A5DEF634E3AE}">
  <dimension ref="A1:AA51"/>
  <sheetViews>
    <sheetView showGridLines="0" zoomScale="70" zoomScaleNormal="70" workbookViewId="0">
      <selection activeCell="I25" sqref="I25:Q29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107" priority="11" operator="containsText" text="GES_NCC">
      <formula>NOT(ISERROR(SEARCH("GES_NCC",D5)))</formula>
    </cfRule>
    <cfRule type="containsText" dxfId="106" priority="12" operator="containsText" text="IDENTIDA">
      <formula>NOT(ISERROR(SEARCH("IDENTIDA",D5)))</formula>
    </cfRule>
    <cfRule type="containsText" dxfId="105" priority="13" operator="containsText" text="INF_NIA">
      <formula>NOT(ISERROR(SEARCH("INF_NIA",D5)))</formula>
    </cfRule>
    <cfRule type="containsText" dxfId="104" priority="14" operator="containsText" text="CANCELADO MOVIL">
      <formula>NOT(ISERROR(SEARCH("CANCELADO MOVIL",D5)))</formula>
    </cfRule>
    <cfRule type="containsText" dxfId="103" priority="15" operator="containsText" text="CANCELADO HOGAR">
      <formula>NOT(ISERROR(SEARCH("CANCELADO HOGAR",D5)))</formula>
    </cfRule>
    <cfRule type="containsText" dxfId="102" priority="16" operator="containsText" text="RETENIDO MOVIL">
      <formula>NOT(ISERROR(SEARCH("RETENIDO MOVIL",D5)))</formula>
    </cfRule>
    <cfRule type="containsText" dxfId="101" priority="17" operator="containsText" text="RETENIDO HOGAR">
      <formula>NOT(ISERROR(SEARCH("RETENIDO HOGAR",D5)))</formula>
    </cfRule>
    <cfRule type="containsText" dxfId="100" priority="18" operator="containsText" text="MAL TRANSFERIDA">
      <formula>NOT(ISERROR(SEARCH("MAL TRANSFERIDA",D5)))</formula>
    </cfRule>
    <cfRule type="containsText" dxfId="99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{83FD7DE7-FA63-4152-8234-29E9F031B0F3}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{9A8C26C7-0D3F-4ABD-A29B-CF2696855B18}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{50D4DA67-BD02-4928-A768-D209DDDFED9A}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{96C7645C-25BA-4AE9-A8BE-7F288A6205B9}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{C4711B70-46EF-4C8F-AA3D-474AFE5A2BC7}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{1084862E-69C8-4720-AD56-E2A23DD52493}</x14:id>
        </ext>
      </extLst>
    </cfRule>
  </conditionalFormatting>
  <dataValidations count="3">
    <dataValidation type="list" allowBlank="1" showInputMessage="1" showErrorMessage="1" sqref="D5:D50" xr:uid="{5F5EE34C-C5C0-47F4-A978-A03F50A6ADD6}">
      <formula1>$Y$5:$Y$13</formula1>
    </dataValidation>
    <dataValidation type="list" allowBlank="1" showInputMessage="1" showErrorMessage="1" sqref="E5:E50" xr:uid="{7A6EB98E-1C2C-4093-9052-561941D4BCD1}">
      <formula1>IF(OR(D5="RETENIDO HOGAR",D5="RETENIDO MOVIL"),$Z$5:$Z$7,"-")</formula1>
    </dataValidation>
    <dataValidation type="list" allowBlank="1" showInputMessage="1" showErrorMessage="1" sqref="F5:F50" xr:uid="{3A2DAA47-D51A-4612-A636-1BFB2890912D}">
      <formula1>IF(OR(D5="CANCELADO HOGAR",D5="CANCELADO MOVIL"),$Z$5:$Z$7,"-")</formula1>
    </dataValidation>
  </dataValidations>
  <hyperlinks>
    <hyperlink ref="B2" location="GENERAL!A1" display="MENÚ PRINCIPAL" xr:uid="{8A3F7B83-FD57-46EA-9C49-ACA04A49B0B7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FD7DE7-FA63-4152-8234-29E9F031B0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9A8C26C7-0D3F-4ABD-A29B-CF2696855B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0581D369-8CA1-4818-B7AD-592432716A78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945AFECD-13AA-4729-8EEC-6C4BEE0ED985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50D4DA67-BD02-4928-A768-D209DDDFED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96C7645C-25BA-4AE9-A8BE-7F288A6205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C4711B70-46EF-4C8F-AA3D-474AFE5A2BC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1084862E-69C8-4720-AD56-E2A23DD524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EBA7-5276-45D7-9B9B-A70AD1D90194}">
  <dimension ref="A1:AA51"/>
  <sheetViews>
    <sheetView showGridLines="0" zoomScale="70" zoomScaleNormal="70" workbookViewId="0">
      <selection activeCell="I25" sqref="I25:Q29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98" priority="11" operator="containsText" text="GES_NCC">
      <formula>NOT(ISERROR(SEARCH("GES_NCC",D5)))</formula>
    </cfRule>
    <cfRule type="containsText" dxfId="97" priority="12" operator="containsText" text="IDENTIDA">
      <formula>NOT(ISERROR(SEARCH("IDENTIDA",D5)))</formula>
    </cfRule>
    <cfRule type="containsText" dxfId="96" priority="13" operator="containsText" text="INF_NIA">
      <formula>NOT(ISERROR(SEARCH("INF_NIA",D5)))</formula>
    </cfRule>
    <cfRule type="containsText" dxfId="95" priority="14" operator="containsText" text="CANCELADO MOVIL">
      <formula>NOT(ISERROR(SEARCH("CANCELADO MOVIL",D5)))</formula>
    </cfRule>
    <cfRule type="containsText" dxfId="94" priority="15" operator="containsText" text="CANCELADO HOGAR">
      <formula>NOT(ISERROR(SEARCH("CANCELADO HOGAR",D5)))</formula>
    </cfRule>
    <cfRule type="containsText" dxfId="93" priority="16" operator="containsText" text="RETENIDO MOVIL">
      <formula>NOT(ISERROR(SEARCH("RETENIDO MOVIL",D5)))</formula>
    </cfRule>
    <cfRule type="containsText" dxfId="92" priority="17" operator="containsText" text="RETENIDO HOGAR">
      <formula>NOT(ISERROR(SEARCH("RETENIDO HOGAR",D5)))</formula>
    </cfRule>
    <cfRule type="containsText" dxfId="91" priority="18" operator="containsText" text="MAL TRANSFERIDA">
      <formula>NOT(ISERROR(SEARCH("MAL TRANSFERIDA",D5)))</formula>
    </cfRule>
    <cfRule type="containsText" dxfId="90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{BB9EAE71-D157-4F00-A572-E7063BEF2F52}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{0DF55A05-9A60-477F-B8F2-531DD299AC63}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{40653509-7161-4B33-BDB6-94409A6D60E7}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{D02FB2AC-EA1C-4A36-B04C-542E4851535C}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{F7434F36-1294-4AE5-8381-339E19F54DAE}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{ABB3C214-FB2A-401A-AB49-E5E759368BE6}</x14:id>
        </ext>
      </extLst>
    </cfRule>
  </conditionalFormatting>
  <dataValidations count="3">
    <dataValidation type="list" allowBlank="1" showInputMessage="1" showErrorMessage="1" sqref="F5:F50" xr:uid="{059C9D86-AAF2-4B68-B8C3-6B3C8C65CFFA}">
      <formula1>IF(OR(D5="CANCELADO HOGAR",D5="CANCELADO MOVIL"),$Z$5:$Z$7,"-")</formula1>
    </dataValidation>
    <dataValidation type="list" allowBlank="1" showInputMessage="1" showErrorMessage="1" sqref="E5:E50" xr:uid="{A4609AD6-5D8F-4498-B52B-D8D1F799B294}">
      <formula1>IF(OR(D5="RETENIDO HOGAR",D5="RETENIDO MOVIL"),$Z$5:$Z$7,"-")</formula1>
    </dataValidation>
    <dataValidation type="list" allowBlank="1" showInputMessage="1" showErrorMessage="1" sqref="D5:D50" xr:uid="{5B098ED3-E3FB-4150-B18A-88CBF2ABA4BC}">
      <formula1>$Y$5:$Y$13</formula1>
    </dataValidation>
  </dataValidations>
  <hyperlinks>
    <hyperlink ref="B2" location="GENERAL!A1" display="MENÚ PRINCIPAL" xr:uid="{26168BCC-3960-4DD5-BAC1-BAB43CF0759A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9EAE71-D157-4F00-A572-E7063BEF2F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0DF55A05-9A60-477F-B8F2-531DD299AC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E287D1A0-6DEB-4693-AA69-E363B11BEA1C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43903065-D05C-46FF-AF22-136E85BCD97B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40653509-7161-4B33-BDB6-94409A6D60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D02FB2AC-EA1C-4A36-B04C-542E485153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F7434F36-1294-4AE5-8381-339E19F54DA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ABB3C214-FB2A-401A-AB49-E5E759368B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1700-37E4-4943-9DB0-81889C6BE780}">
  <dimension ref="A1:AA51"/>
  <sheetViews>
    <sheetView showGridLines="0" zoomScale="70" zoomScaleNormal="70" workbookViewId="0">
      <selection activeCell="I25" sqref="I25:Q29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89" priority="11" operator="containsText" text="GES_NCC">
      <formula>NOT(ISERROR(SEARCH("GES_NCC",D5)))</formula>
    </cfRule>
    <cfRule type="containsText" dxfId="88" priority="12" operator="containsText" text="IDENTIDA">
      <formula>NOT(ISERROR(SEARCH("IDENTIDA",D5)))</formula>
    </cfRule>
    <cfRule type="containsText" dxfId="87" priority="13" operator="containsText" text="INF_NIA">
      <formula>NOT(ISERROR(SEARCH("INF_NIA",D5)))</formula>
    </cfRule>
    <cfRule type="containsText" dxfId="86" priority="14" operator="containsText" text="CANCELADO MOVIL">
      <formula>NOT(ISERROR(SEARCH("CANCELADO MOVIL",D5)))</formula>
    </cfRule>
    <cfRule type="containsText" dxfId="85" priority="15" operator="containsText" text="CANCELADO HOGAR">
      <formula>NOT(ISERROR(SEARCH("CANCELADO HOGAR",D5)))</formula>
    </cfRule>
    <cfRule type="containsText" dxfId="84" priority="16" operator="containsText" text="RETENIDO MOVIL">
      <formula>NOT(ISERROR(SEARCH("RETENIDO MOVIL",D5)))</formula>
    </cfRule>
    <cfRule type="containsText" dxfId="83" priority="17" operator="containsText" text="RETENIDO HOGAR">
      <formula>NOT(ISERROR(SEARCH("RETENIDO HOGAR",D5)))</formula>
    </cfRule>
    <cfRule type="containsText" dxfId="82" priority="18" operator="containsText" text="MAL TRANSFERIDA">
      <formula>NOT(ISERROR(SEARCH("MAL TRANSFERIDA",D5)))</formula>
    </cfRule>
    <cfRule type="containsText" dxfId="81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{A3B5C495-E7C9-4827-839D-28EB3051B98D}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{1A05F2C8-DE09-49B0-878B-0BD10D09568B}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{EBFCBA4A-4FA7-4397-85C7-060BFEB182C8}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{590EC954-460F-42AF-A265-502BC2419945}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{E0D22810-4962-430A-B125-E40AE84036E4}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{BE3DBA8A-F2CD-425B-B1C2-8D4302620648}</x14:id>
        </ext>
      </extLst>
    </cfRule>
  </conditionalFormatting>
  <dataValidations count="3">
    <dataValidation type="list" allowBlank="1" showInputMessage="1" showErrorMessage="1" sqref="D5:D50" xr:uid="{498C1EAB-8B60-4FAE-8505-5716BD322274}">
      <formula1>$Y$5:$Y$13</formula1>
    </dataValidation>
    <dataValidation type="list" allowBlank="1" showInputMessage="1" showErrorMessage="1" sqref="E5:E50" xr:uid="{2B1B52B3-4686-4514-A933-4A078A0C8314}">
      <formula1>IF(OR(D5="RETENIDO HOGAR",D5="RETENIDO MOVIL"),$Z$5:$Z$7,"-")</formula1>
    </dataValidation>
    <dataValidation type="list" allowBlank="1" showInputMessage="1" showErrorMessage="1" sqref="F5:F50" xr:uid="{F6427D11-2AF2-4D2E-8E97-7E2233BB1002}">
      <formula1>IF(OR(D5="CANCELADO HOGAR",D5="CANCELADO MOVIL"),$Z$5:$Z$7,"-")</formula1>
    </dataValidation>
  </dataValidations>
  <hyperlinks>
    <hyperlink ref="B2" location="GENERAL!A1" display="MENÚ PRINCIPAL" xr:uid="{A190CCF9-65B8-41B4-AD1E-7E6CE2B9CB95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B5C495-E7C9-4827-839D-28EB3051B9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1A05F2C8-DE09-49B0-878B-0BD10D0956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31065062-39C7-49BE-97BE-CB93592405EA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E65F550D-88E1-44D0-B1DF-94F1288178FF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EBFCBA4A-4FA7-4397-85C7-060BFEB182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590EC954-460F-42AF-A265-502BC24199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E0D22810-4962-430A-B125-E40AE84036E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BE3DBA8A-F2CD-425B-B1C2-8D43026206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D4CE-D3BA-4369-B17E-10AD4DA5C492}">
  <dimension ref="A1:AA51"/>
  <sheetViews>
    <sheetView showGridLines="0" zoomScale="70" zoomScaleNormal="70" workbookViewId="0">
      <selection activeCell="I25" sqref="I25:Q29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80" priority="11" operator="containsText" text="GES_NCC">
      <formula>NOT(ISERROR(SEARCH("GES_NCC",D5)))</formula>
    </cfRule>
    <cfRule type="containsText" dxfId="79" priority="12" operator="containsText" text="IDENTIDA">
      <formula>NOT(ISERROR(SEARCH("IDENTIDA",D5)))</formula>
    </cfRule>
    <cfRule type="containsText" dxfId="78" priority="13" operator="containsText" text="INF_NIA">
      <formula>NOT(ISERROR(SEARCH("INF_NIA",D5)))</formula>
    </cfRule>
    <cfRule type="containsText" dxfId="77" priority="14" operator="containsText" text="CANCELADO MOVIL">
      <formula>NOT(ISERROR(SEARCH("CANCELADO MOVIL",D5)))</formula>
    </cfRule>
    <cfRule type="containsText" dxfId="76" priority="15" operator="containsText" text="CANCELADO HOGAR">
      <formula>NOT(ISERROR(SEARCH("CANCELADO HOGAR",D5)))</formula>
    </cfRule>
    <cfRule type="containsText" dxfId="75" priority="16" operator="containsText" text="RETENIDO MOVIL">
      <formula>NOT(ISERROR(SEARCH("RETENIDO MOVIL",D5)))</formula>
    </cfRule>
    <cfRule type="containsText" dxfId="74" priority="17" operator="containsText" text="RETENIDO HOGAR">
      <formula>NOT(ISERROR(SEARCH("RETENIDO HOGAR",D5)))</formula>
    </cfRule>
    <cfRule type="containsText" dxfId="73" priority="18" operator="containsText" text="MAL TRANSFERIDA">
      <formula>NOT(ISERROR(SEARCH("MAL TRANSFERIDA",D5)))</formula>
    </cfRule>
    <cfRule type="containsText" dxfId="72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{63EF0647-C902-4749-955A-485A0E478681}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{C40AD294-38D8-4AD1-AF2D-C8281780E631}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{46A0B8E8-1E85-4034-9065-B5002DC921C6}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{4035C6AA-0A7F-4A2A-A97E-8A5F8BA7D0D1}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{1EF0A981-1054-4DA2-A237-D32BE6E89BAB}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{21008D06-B802-4B74-8956-5275AF0841DB}</x14:id>
        </ext>
      </extLst>
    </cfRule>
  </conditionalFormatting>
  <dataValidations count="3">
    <dataValidation type="list" allowBlank="1" showInputMessage="1" showErrorMessage="1" sqref="F5:F50" xr:uid="{1215A4ED-AA6B-4F33-9897-CD6358557B6A}">
      <formula1>IF(OR(D5="CANCELADO HOGAR",D5="CANCELADO MOVIL"),$Z$5:$Z$7,"-")</formula1>
    </dataValidation>
    <dataValidation type="list" allowBlank="1" showInputMessage="1" showErrorMessage="1" sqref="E5:E50" xr:uid="{AF6C7E4D-1C42-4B81-A19B-91FA586FA5EA}">
      <formula1>IF(OR(D5="RETENIDO HOGAR",D5="RETENIDO MOVIL"),$Z$5:$Z$7,"-")</formula1>
    </dataValidation>
    <dataValidation type="list" allowBlank="1" showInputMessage="1" showErrorMessage="1" sqref="D5:D50" xr:uid="{B05F5508-DBC0-4D0B-9B5D-D3D34D8C229B}">
      <formula1>$Y$5:$Y$13</formula1>
    </dataValidation>
  </dataValidations>
  <hyperlinks>
    <hyperlink ref="B2" location="GENERAL!A1" display="MENÚ PRINCIPAL" xr:uid="{F5C9F279-93CA-4885-AAAF-E79859E9B734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EF0647-C902-4749-955A-485A0E4786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C40AD294-38D8-4AD1-AF2D-C8281780E63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1923B829-76EA-46D2-8DAB-7AACA13C4950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A6B1ACFF-AFF6-45E1-B5AE-D7988BF3DB97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46A0B8E8-1E85-4034-9065-B5002DC921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4035C6AA-0A7F-4A2A-A97E-8A5F8BA7D0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1EF0A981-1054-4DA2-A237-D32BE6E89BA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21008D06-B802-4B74-8956-5275AF0841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0E5E-5708-4EC5-9E43-628E43621754}">
  <dimension ref="A1:AA51"/>
  <sheetViews>
    <sheetView showGridLines="0" zoomScale="70" zoomScaleNormal="70" workbookViewId="0">
      <selection activeCell="I25" sqref="I25:Q29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71" priority="11" operator="containsText" text="GES_NCC">
      <formula>NOT(ISERROR(SEARCH("GES_NCC",D5)))</formula>
    </cfRule>
    <cfRule type="containsText" dxfId="70" priority="12" operator="containsText" text="IDENTIDA">
      <formula>NOT(ISERROR(SEARCH("IDENTIDA",D5)))</formula>
    </cfRule>
    <cfRule type="containsText" dxfId="69" priority="13" operator="containsText" text="INF_NIA">
      <formula>NOT(ISERROR(SEARCH("INF_NIA",D5)))</formula>
    </cfRule>
    <cfRule type="containsText" dxfId="68" priority="14" operator="containsText" text="CANCELADO MOVIL">
      <formula>NOT(ISERROR(SEARCH("CANCELADO MOVIL",D5)))</formula>
    </cfRule>
    <cfRule type="containsText" dxfId="67" priority="15" operator="containsText" text="CANCELADO HOGAR">
      <formula>NOT(ISERROR(SEARCH("CANCELADO HOGAR",D5)))</formula>
    </cfRule>
    <cfRule type="containsText" dxfId="66" priority="16" operator="containsText" text="RETENIDO MOVIL">
      <formula>NOT(ISERROR(SEARCH("RETENIDO MOVIL",D5)))</formula>
    </cfRule>
    <cfRule type="containsText" dxfId="65" priority="17" operator="containsText" text="RETENIDO HOGAR">
      <formula>NOT(ISERROR(SEARCH("RETENIDO HOGAR",D5)))</formula>
    </cfRule>
    <cfRule type="containsText" dxfId="64" priority="18" operator="containsText" text="MAL TRANSFERIDA">
      <formula>NOT(ISERROR(SEARCH("MAL TRANSFERIDA",D5)))</formula>
    </cfRule>
    <cfRule type="containsText" dxfId="63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{CE8DD06F-47FC-4C70-91B6-15F9340D6909}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{063D2A26-9340-4E78-BD7A-34E9F1CD8667}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{9DD77DFB-E0E6-4B21-A488-3D75E04CBA8A}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{D6D9C05E-04BE-4E8B-ACBA-28EE4E793AD8}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{CC24C383-6C50-4AB3-AFD3-FCE6A0CC1C01}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{011E93E2-B8CD-4C47-8B7C-448A6297F74D}</x14:id>
        </ext>
      </extLst>
    </cfRule>
  </conditionalFormatting>
  <dataValidations count="3">
    <dataValidation type="list" allowBlank="1" showInputMessage="1" showErrorMessage="1" sqref="F5:F50" xr:uid="{1FB8D2D2-CD23-4A51-9304-E013F47AC583}">
      <formula1>IF(OR(D5="CANCELADO HOGAR",D5="CANCELADO MOVIL"),$Z$5:$Z$7,"-")</formula1>
    </dataValidation>
    <dataValidation type="list" allowBlank="1" showInputMessage="1" showErrorMessage="1" sqref="E5:E50" xr:uid="{F68CB495-F962-4866-8FA9-88F3DA8DC904}">
      <formula1>IF(OR(D5="RETENIDO HOGAR",D5="RETENIDO MOVIL"),$Z$5:$Z$7,"-")</formula1>
    </dataValidation>
    <dataValidation type="list" allowBlank="1" showInputMessage="1" showErrorMessage="1" sqref="D5:D50" xr:uid="{A1A6EC00-5641-406E-90A3-937F5620E5CE}">
      <formula1>$Y$5:$Y$13</formula1>
    </dataValidation>
  </dataValidations>
  <hyperlinks>
    <hyperlink ref="B2" location="GENERAL!A1" display="MENÚ PRINCIPAL" xr:uid="{1C875E66-5723-4AFD-87D1-E460F871B7A3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8DD06F-47FC-4C70-91B6-15F9340D69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063D2A26-9340-4E78-BD7A-34E9F1CD866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064AA339-E4F2-4D9C-9EF8-90CB19A23426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35C8CFB9-3B3B-4AAA-9F5B-8E067E623B05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9DD77DFB-E0E6-4B21-A488-3D75E04CBA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D6D9C05E-04BE-4E8B-ACBA-28EE4E793A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CC24C383-6C50-4AB3-AFD3-FCE6A0CC1C0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011E93E2-B8CD-4C47-8B7C-448A6297F7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3C7B-85CE-4E83-A36D-2606B66EEA62}">
  <dimension ref="A1:AA51"/>
  <sheetViews>
    <sheetView showGridLines="0" zoomScale="70" zoomScaleNormal="70" workbookViewId="0">
      <selection activeCell="I25" sqref="I25:Q29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3.8554687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62" priority="11" operator="containsText" text="GES_NCC">
      <formula>NOT(ISERROR(SEARCH("GES_NCC",D5)))</formula>
    </cfRule>
    <cfRule type="containsText" dxfId="61" priority="12" operator="containsText" text="IDENTIDA">
      <formula>NOT(ISERROR(SEARCH("IDENTIDA",D5)))</formula>
    </cfRule>
    <cfRule type="containsText" dxfId="60" priority="13" operator="containsText" text="INF_NIA">
      <formula>NOT(ISERROR(SEARCH("INF_NIA",D5)))</formula>
    </cfRule>
    <cfRule type="containsText" dxfId="59" priority="14" operator="containsText" text="CANCELADO MOVIL">
      <formula>NOT(ISERROR(SEARCH("CANCELADO MOVIL",D5)))</formula>
    </cfRule>
    <cfRule type="containsText" dxfId="58" priority="15" operator="containsText" text="CANCELADO HOGAR">
      <formula>NOT(ISERROR(SEARCH("CANCELADO HOGAR",D5)))</formula>
    </cfRule>
    <cfRule type="containsText" dxfId="57" priority="16" operator="containsText" text="RETENIDO MOVIL">
      <formula>NOT(ISERROR(SEARCH("RETENIDO MOVIL",D5)))</formula>
    </cfRule>
    <cfRule type="containsText" dxfId="56" priority="17" operator="containsText" text="RETENIDO HOGAR">
      <formula>NOT(ISERROR(SEARCH("RETENIDO HOGAR",D5)))</formula>
    </cfRule>
    <cfRule type="containsText" dxfId="55" priority="18" operator="containsText" text="MAL TRANSFERIDA">
      <formula>NOT(ISERROR(SEARCH("MAL TRANSFERIDA",D5)))</formula>
    </cfRule>
    <cfRule type="containsText" dxfId="54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{BE3086EC-8761-42F7-A3BA-66C6A8162E98}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{E9B9E7EB-48E0-4E8E-B2E2-B44DF4D5F8FB}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{F4EC8AA3-8DB2-4AA7-881B-558D8379B417}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{5BD60D89-081A-461C-B279-5D7CB759905E}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{86B16C11-EF2E-44EF-BF36-A947EA0C2493}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{756D7F92-94BF-42E7-A5FA-4953996C4641}</x14:id>
        </ext>
      </extLst>
    </cfRule>
  </conditionalFormatting>
  <dataValidations count="3">
    <dataValidation type="list" allowBlank="1" showInputMessage="1" showErrorMessage="1" sqref="D5:D50" xr:uid="{950D5877-8CE4-4BA2-96EC-DD49F9A1E313}">
      <formula1>$Y$5:$Y$13</formula1>
    </dataValidation>
    <dataValidation type="list" allowBlank="1" showInputMessage="1" showErrorMessage="1" sqref="E5:E50" xr:uid="{0D7D6A4B-1568-4433-9D51-E8E5AB5F8EA7}">
      <formula1>IF(OR(D5="RETENIDO HOGAR",D5="RETENIDO MOVIL"),$Z$5:$Z$7,"-")</formula1>
    </dataValidation>
    <dataValidation type="list" allowBlank="1" showInputMessage="1" showErrorMessage="1" sqref="F5:F50" xr:uid="{6E69D7FF-B5FE-4A3C-85C3-72C8F886C171}">
      <formula1>IF(OR(D5="CANCELADO HOGAR",D5="CANCELADO MOVIL"),$Z$5:$Z$7,"-")</formula1>
    </dataValidation>
  </dataValidations>
  <hyperlinks>
    <hyperlink ref="B2" location="GENERAL!A1" display="MENÚ PRINCIPAL" xr:uid="{F809D16A-74EB-4376-A628-FB62A655FE04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3086EC-8761-42F7-A3BA-66C6A8162E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E9B9E7EB-48E0-4E8E-B2E2-B44DF4D5F8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7BBF0112-1E99-4CA8-AE2A-AA759DD90E62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98001E0D-B22C-4501-A140-A73B0B8DD5AF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F4EC8AA3-8DB2-4AA7-881B-558D8379B4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5BD60D89-081A-461C-B279-5D7CB75990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86B16C11-EF2E-44EF-BF36-A947EA0C249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756D7F92-94BF-42E7-A5FA-4953996C46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E194-D947-422D-85B6-71C73F21C3B7}">
  <dimension ref="A1:AA51"/>
  <sheetViews>
    <sheetView showGridLines="0" zoomScale="70" zoomScaleNormal="70" workbookViewId="0">
      <selection activeCell="I25" sqref="I25:Q29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53" priority="11" operator="containsText" text="GES_NCC">
      <formula>NOT(ISERROR(SEARCH("GES_NCC",D5)))</formula>
    </cfRule>
    <cfRule type="containsText" dxfId="52" priority="12" operator="containsText" text="IDENTIDA">
      <formula>NOT(ISERROR(SEARCH("IDENTIDA",D5)))</formula>
    </cfRule>
    <cfRule type="containsText" dxfId="51" priority="13" operator="containsText" text="INF_NIA">
      <formula>NOT(ISERROR(SEARCH("INF_NIA",D5)))</formula>
    </cfRule>
    <cfRule type="containsText" dxfId="50" priority="14" operator="containsText" text="CANCELADO MOVIL">
      <formula>NOT(ISERROR(SEARCH("CANCELADO MOVIL",D5)))</formula>
    </cfRule>
    <cfRule type="containsText" dxfId="49" priority="15" operator="containsText" text="CANCELADO HOGAR">
      <formula>NOT(ISERROR(SEARCH("CANCELADO HOGAR",D5)))</formula>
    </cfRule>
    <cfRule type="containsText" dxfId="48" priority="16" operator="containsText" text="RETENIDO MOVIL">
      <formula>NOT(ISERROR(SEARCH("RETENIDO MOVIL",D5)))</formula>
    </cfRule>
    <cfRule type="containsText" dxfId="47" priority="17" operator="containsText" text="RETENIDO HOGAR">
      <formula>NOT(ISERROR(SEARCH("RETENIDO HOGAR",D5)))</formula>
    </cfRule>
    <cfRule type="containsText" dxfId="46" priority="18" operator="containsText" text="MAL TRANSFERIDA">
      <formula>NOT(ISERROR(SEARCH("MAL TRANSFERIDA",D5)))</formula>
    </cfRule>
    <cfRule type="containsText" dxfId="45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{9846AF24-9860-435F-B8E1-7056B4AF2CAB}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{18CF70AE-05B6-45D4-9EBB-13F78D575FF5}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{E99CAB9F-1652-4DD2-9836-0BAF1EBF6B30}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{12C4E7D5-3392-4532-B923-0368B90808B3}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{6F2ECCBE-B7D6-485D-B38D-9388A1FE5EA0}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{EAE9CD67-8A1A-4DD3-B82C-F0FAD49ADC17}</x14:id>
        </ext>
      </extLst>
    </cfRule>
  </conditionalFormatting>
  <dataValidations count="3">
    <dataValidation type="list" allowBlank="1" showInputMessage="1" showErrorMessage="1" sqref="F5:F50" xr:uid="{08D31643-A0D0-4CE6-9DFA-15F441266591}">
      <formula1>IF(OR(D5="CANCELADO HOGAR",D5="CANCELADO MOVIL"),$Z$5:$Z$7,"-")</formula1>
    </dataValidation>
    <dataValidation type="list" allowBlank="1" showInputMessage="1" showErrorMessage="1" sqref="E5:E50" xr:uid="{199ACF32-657F-49BF-8A22-C299BFAE063E}">
      <formula1>IF(OR(D5="RETENIDO HOGAR",D5="RETENIDO MOVIL"),$Z$5:$Z$7,"-")</formula1>
    </dataValidation>
    <dataValidation type="list" allowBlank="1" showInputMessage="1" showErrorMessage="1" sqref="D5:D50" xr:uid="{2816EB34-303A-4F62-820B-00BC6275A0A0}">
      <formula1>$Y$5:$Y$13</formula1>
    </dataValidation>
  </dataValidations>
  <hyperlinks>
    <hyperlink ref="B2" location="GENERAL!A1" display="MENÚ PRINCIPAL" xr:uid="{5EFB4A04-C5B0-45D3-BE69-2112842E6E7F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46AF24-9860-435F-B8E1-7056B4AF2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18CF70AE-05B6-45D4-9EBB-13F78D575F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B276F7A0-7DC7-4CCF-83C1-DA0F7D3899F7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A5A9D61F-D366-4093-B15B-C36C71AB4CF5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E99CAB9F-1652-4DD2-9836-0BAF1EBF6B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12C4E7D5-3392-4532-B923-0368B90808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6F2ECCBE-B7D6-485D-B38D-9388A1FE5EA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EAE9CD67-8A1A-4DD3-B82C-F0FAD49AD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5F26-D38B-45B6-82BE-07E6CB065DE4}">
  <dimension ref="A1:AA51"/>
  <sheetViews>
    <sheetView showGridLines="0" zoomScale="70" zoomScaleNormal="70" workbookViewId="0">
      <selection activeCell="I25" sqref="I25:Q29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44" priority="11" operator="containsText" text="GES_NCC">
      <formula>NOT(ISERROR(SEARCH("GES_NCC",D5)))</formula>
    </cfRule>
    <cfRule type="containsText" dxfId="43" priority="12" operator="containsText" text="IDENTIDA">
      <formula>NOT(ISERROR(SEARCH("IDENTIDA",D5)))</formula>
    </cfRule>
    <cfRule type="containsText" dxfId="42" priority="13" operator="containsText" text="INF_NIA">
      <formula>NOT(ISERROR(SEARCH("INF_NIA",D5)))</formula>
    </cfRule>
    <cfRule type="containsText" dxfId="41" priority="14" operator="containsText" text="CANCELADO MOVIL">
      <formula>NOT(ISERROR(SEARCH("CANCELADO MOVIL",D5)))</formula>
    </cfRule>
    <cfRule type="containsText" dxfId="40" priority="15" operator="containsText" text="CANCELADO HOGAR">
      <formula>NOT(ISERROR(SEARCH("CANCELADO HOGAR",D5)))</formula>
    </cfRule>
    <cfRule type="containsText" dxfId="39" priority="16" operator="containsText" text="RETENIDO MOVIL">
      <formula>NOT(ISERROR(SEARCH("RETENIDO MOVIL",D5)))</formula>
    </cfRule>
    <cfRule type="containsText" dxfId="38" priority="17" operator="containsText" text="RETENIDO HOGAR">
      <formula>NOT(ISERROR(SEARCH("RETENIDO HOGAR",D5)))</formula>
    </cfRule>
    <cfRule type="containsText" dxfId="37" priority="18" operator="containsText" text="MAL TRANSFERIDA">
      <formula>NOT(ISERROR(SEARCH("MAL TRANSFERIDA",D5)))</formula>
    </cfRule>
    <cfRule type="containsText" dxfId="36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{C84656AC-4FEA-44AF-810F-8CBF7A57C377}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{3CDC43E0-5315-4DAA-B22C-E5B4685BD929}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{AEAEE263-4A5F-47C9-BD08-93AB5E4446FE}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{16FEA248-9D52-456C-AEF0-AC3461F80D11}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{D7C12358-60FA-46CE-BAFD-38357388320A}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{147D81B4-D8DC-4A8D-9342-D06B3D1B41A3}</x14:id>
        </ext>
      </extLst>
    </cfRule>
  </conditionalFormatting>
  <dataValidations count="3">
    <dataValidation type="list" allowBlank="1" showInputMessage="1" showErrorMessage="1" sqref="D5:D50" xr:uid="{DA3E17C3-6B36-496B-A50D-1127A4225EF1}">
      <formula1>$Y$5:$Y$13</formula1>
    </dataValidation>
    <dataValidation type="list" allowBlank="1" showInputMessage="1" showErrorMessage="1" sqref="E5:E50" xr:uid="{AF5D8150-7FDC-4872-8E74-A71EFB085BD6}">
      <formula1>IF(OR(D5="RETENIDO HOGAR",D5="RETENIDO MOVIL"),$Z$5:$Z$7,"-")</formula1>
    </dataValidation>
    <dataValidation type="list" allowBlank="1" showInputMessage="1" showErrorMessage="1" sqref="F5:F50" xr:uid="{B2DB4C13-3E52-480F-9534-1D20B7AC9EF6}">
      <formula1>IF(OR(D5="CANCELADO HOGAR",D5="CANCELADO MOVIL"),$Z$5:$Z$7,"-")</formula1>
    </dataValidation>
  </dataValidations>
  <hyperlinks>
    <hyperlink ref="B2" location="GENERAL!A1" display="MENÚ PRINCIPAL" xr:uid="{A0FA3D85-604C-447C-B4CA-0FF2F52AFC12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4656AC-4FEA-44AF-810F-8CBF7A57C3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3CDC43E0-5315-4DAA-B22C-E5B4685BD92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D73B1BE8-2A95-4BAE-BCE0-EBAFDF764FD9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6796EEBD-132D-4490-8718-182A51A14412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AEAEE263-4A5F-47C9-BD08-93AB5E4446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16FEA248-9D52-456C-AEF0-AC3461F80D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D7C12358-60FA-46CE-BAFD-38357388320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147D81B4-D8DC-4A8D-9342-D06B3D1B41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C2EDD-5EDD-412B-BB78-735231025479}">
  <dimension ref="A1:AA51"/>
  <sheetViews>
    <sheetView showGridLines="0" topLeftCell="A3" zoomScale="70" zoomScaleNormal="70" workbookViewId="0">
      <selection activeCell="I25" sqref="I25:Q29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35" priority="11" operator="containsText" text="GES_NCC">
      <formula>NOT(ISERROR(SEARCH("GES_NCC",D5)))</formula>
    </cfRule>
    <cfRule type="containsText" dxfId="34" priority="12" operator="containsText" text="IDENTIDA">
      <formula>NOT(ISERROR(SEARCH("IDENTIDA",D5)))</formula>
    </cfRule>
    <cfRule type="containsText" dxfId="33" priority="13" operator="containsText" text="INF_NIA">
      <formula>NOT(ISERROR(SEARCH("INF_NIA",D5)))</formula>
    </cfRule>
    <cfRule type="containsText" dxfId="32" priority="14" operator="containsText" text="CANCELADO MOVIL">
      <formula>NOT(ISERROR(SEARCH("CANCELADO MOVIL",D5)))</formula>
    </cfRule>
    <cfRule type="containsText" dxfId="31" priority="15" operator="containsText" text="CANCELADO HOGAR">
      <formula>NOT(ISERROR(SEARCH("CANCELADO HOGAR",D5)))</formula>
    </cfRule>
    <cfRule type="containsText" dxfId="30" priority="16" operator="containsText" text="RETENIDO MOVIL">
      <formula>NOT(ISERROR(SEARCH("RETENIDO MOVIL",D5)))</formula>
    </cfRule>
    <cfRule type="containsText" dxfId="29" priority="17" operator="containsText" text="RETENIDO HOGAR">
      <formula>NOT(ISERROR(SEARCH("RETENIDO HOGAR",D5)))</formula>
    </cfRule>
    <cfRule type="containsText" dxfId="28" priority="18" operator="containsText" text="MAL TRANSFERIDA">
      <formula>NOT(ISERROR(SEARCH("MAL TRANSFERIDA",D5)))</formula>
    </cfRule>
    <cfRule type="containsText" dxfId="27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{4894215A-8B34-4F6B-8866-2E0CAD3BCB0E}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{67364D25-D300-4CE3-834E-CA79B9CD165D}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{F590080B-7B77-469C-BA08-B3E56F033030}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{C68E66E5-76A3-4561-8E68-F395F108AB74}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{4C1EE428-BD44-441C-96B4-BD9EC1C897FC}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{1B0DF241-EA5E-4196-AAFF-35D8BBFDC035}</x14:id>
        </ext>
      </extLst>
    </cfRule>
  </conditionalFormatting>
  <dataValidations count="3">
    <dataValidation type="list" allowBlank="1" showInputMessage="1" showErrorMessage="1" sqref="F5:F50" xr:uid="{11E1E09E-D03D-465F-9AC1-F19E53AF875D}">
      <formula1>IF(OR(D5="CANCELADO HOGAR",D5="CANCELADO MOVIL"),$Z$5:$Z$7,"-")</formula1>
    </dataValidation>
    <dataValidation type="list" allowBlank="1" showInputMessage="1" showErrorMessage="1" sqref="E5:E50" xr:uid="{B5A0E9C5-1FA6-44C5-91CE-26EB8B6D568F}">
      <formula1>IF(OR(D5="RETENIDO HOGAR",D5="RETENIDO MOVIL"),$Z$5:$Z$7,"-")</formula1>
    </dataValidation>
    <dataValidation type="list" allowBlank="1" showInputMessage="1" showErrorMessage="1" sqref="D5:D50" xr:uid="{02776DD0-ECB9-4211-BE35-BC96F70E4426}">
      <formula1>$Y$5:$Y$13</formula1>
    </dataValidation>
  </dataValidations>
  <hyperlinks>
    <hyperlink ref="B2" location="GENERAL!A1" display="MENÚ PRINCIPAL" xr:uid="{D5BF3583-0606-4AEE-8131-05318345B02A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94215A-8B34-4F6B-8866-2E0CAD3BCB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67364D25-D300-4CE3-834E-CA79B9CD16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40B906B3-6BAB-4DC2-9162-B19BEA6D6856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BCB214DB-211F-4F06-AAB5-B17EF3AF509B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F590080B-7B77-469C-BA08-B3E56F0330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C68E66E5-76A3-4561-8E68-F395F108AB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4C1EE428-BD44-441C-96B4-BD9EC1C897F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1B0DF241-EA5E-4196-AAFF-35D8BBFDC0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3AB6-6865-4413-8652-57478F455995}">
  <dimension ref="A1:AA51"/>
  <sheetViews>
    <sheetView showGridLines="0" zoomScale="70" zoomScaleNormal="70" workbookViewId="0">
      <selection activeCell="I25" sqref="I25:Q29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26" priority="11" operator="containsText" text="GES_NCC">
      <formula>NOT(ISERROR(SEARCH("GES_NCC",D5)))</formula>
    </cfRule>
    <cfRule type="containsText" dxfId="25" priority="12" operator="containsText" text="IDENTIDA">
      <formula>NOT(ISERROR(SEARCH("IDENTIDA",D5)))</formula>
    </cfRule>
    <cfRule type="containsText" dxfId="24" priority="13" operator="containsText" text="INF_NIA">
      <formula>NOT(ISERROR(SEARCH("INF_NIA",D5)))</formula>
    </cfRule>
    <cfRule type="containsText" dxfId="23" priority="14" operator="containsText" text="CANCELADO MOVIL">
      <formula>NOT(ISERROR(SEARCH("CANCELADO MOVIL",D5)))</formula>
    </cfRule>
    <cfRule type="containsText" dxfId="22" priority="15" operator="containsText" text="CANCELADO HOGAR">
      <formula>NOT(ISERROR(SEARCH("CANCELADO HOGAR",D5)))</formula>
    </cfRule>
    <cfRule type="containsText" dxfId="21" priority="16" operator="containsText" text="RETENIDO MOVIL">
      <formula>NOT(ISERROR(SEARCH("RETENIDO MOVIL",D5)))</formula>
    </cfRule>
    <cfRule type="containsText" dxfId="20" priority="17" operator="containsText" text="RETENIDO HOGAR">
      <formula>NOT(ISERROR(SEARCH("RETENIDO HOGAR",D5)))</formula>
    </cfRule>
    <cfRule type="containsText" dxfId="19" priority="18" operator="containsText" text="MAL TRANSFERIDA">
      <formula>NOT(ISERROR(SEARCH("MAL TRANSFERIDA",D5)))</formula>
    </cfRule>
    <cfRule type="containsText" dxfId="18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{69950346-FEEF-455F-8132-F77D6C1EC68E}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{A5248EA2-837E-445E-9708-31820B218D31}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{87277120-4673-4CA8-8ACF-4A837D280D94}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{AA59F94D-7A6C-4946-B45F-10DB25E9DA62}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{11F2C43B-F52D-4D80-918C-521124717352}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{D0C9B920-D7DC-4DD3-B318-81FF2D0D22FC}</x14:id>
        </ext>
      </extLst>
    </cfRule>
  </conditionalFormatting>
  <dataValidations count="3">
    <dataValidation type="list" allowBlank="1" showInputMessage="1" showErrorMessage="1" sqref="D5:D50" xr:uid="{306AF5EF-C356-45F4-A3FD-F8E402D9BE53}">
      <formula1>$Y$5:$Y$13</formula1>
    </dataValidation>
    <dataValidation type="list" allowBlank="1" showInputMessage="1" showErrorMessage="1" sqref="E5:E50" xr:uid="{01E758E3-339F-4306-83C3-4799CEA55963}">
      <formula1>IF(OR(D5="RETENIDO HOGAR",D5="RETENIDO MOVIL"),$Z$5:$Z$7,"-")</formula1>
    </dataValidation>
    <dataValidation type="list" allowBlank="1" showInputMessage="1" showErrorMessage="1" sqref="F5:F50" xr:uid="{A40118BE-12B6-46C4-893F-7FFBC3D6D52C}">
      <formula1>IF(OR(D5="CANCELADO HOGAR",D5="CANCELADO MOVIL"),$Z$5:$Z$7,"-")</formula1>
    </dataValidation>
  </dataValidations>
  <hyperlinks>
    <hyperlink ref="B2" location="GENERAL!A1" display="MENÚ PRINCIPAL" xr:uid="{EBFB2725-E270-4B54-B169-001050AF8B32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950346-FEEF-455F-8132-F77D6C1EC6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A5248EA2-837E-445E-9708-31820B218D3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5112E134-EFE7-48FA-9191-41B5A65AD351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3DA9E9B2-F19E-46C9-85FA-2FD11415FC20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87277120-4673-4CA8-8ACF-4A837D280D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AA59F94D-7A6C-4946-B45F-10DB25E9DA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11F2C43B-F52D-4D80-918C-52112471735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D0C9B920-D7DC-4DD3-B318-81FF2D0D22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C383-D937-444C-A62C-C994242FD016}">
  <dimension ref="A1:AA51"/>
  <sheetViews>
    <sheetView showGridLines="0" zoomScale="70" zoomScaleNormal="70" workbookViewId="0">
      <selection activeCell="I25" sqref="I25:Q29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17" priority="11" operator="containsText" text="GES_NCC">
      <formula>NOT(ISERROR(SEARCH("GES_NCC",D5)))</formula>
    </cfRule>
    <cfRule type="containsText" dxfId="16" priority="12" operator="containsText" text="IDENTIDA">
      <formula>NOT(ISERROR(SEARCH("IDENTIDA",D5)))</formula>
    </cfRule>
    <cfRule type="containsText" dxfId="15" priority="13" operator="containsText" text="INF_NIA">
      <formula>NOT(ISERROR(SEARCH("INF_NIA",D5)))</formula>
    </cfRule>
    <cfRule type="containsText" dxfId="14" priority="14" operator="containsText" text="CANCELADO MOVIL">
      <formula>NOT(ISERROR(SEARCH("CANCELADO MOVIL",D5)))</formula>
    </cfRule>
    <cfRule type="containsText" dxfId="13" priority="15" operator="containsText" text="CANCELADO HOGAR">
      <formula>NOT(ISERROR(SEARCH("CANCELADO HOGAR",D5)))</formula>
    </cfRule>
    <cfRule type="containsText" dxfId="12" priority="16" operator="containsText" text="RETENIDO MOVIL">
      <formula>NOT(ISERROR(SEARCH("RETENIDO MOVIL",D5)))</formula>
    </cfRule>
    <cfRule type="containsText" dxfId="11" priority="17" operator="containsText" text="RETENIDO HOGAR">
      <formula>NOT(ISERROR(SEARCH("RETENIDO HOGAR",D5)))</formula>
    </cfRule>
    <cfRule type="containsText" dxfId="10" priority="18" operator="containsText" text="MAL TRANSFERIDA">
      <formula>NOT(ISERROR(SEARCH("MAL TRANSFERIDA",D5)))</formula>
    </cfRule>
    <cfRule type="containsText" dxfId="9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{D3945793-77D6-4733-8CAE-9F2B66497E0F}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{3D6EF924-0E21-41D1-904C-717905E8A0C8}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{4E1BB432-D65E-463F-A230-9CA49C2E4066}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{90B76FC3-ABF9-49B0-B0F6-3D74231AC467}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{4AADAFA1-A966-47EB-A420-B28CEE4058F4}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{FC8B7ADC-1A97-47B0-92A4-EC633B6C89E7}</x14:id>
        </ext>
      </extLst>
    </cfRule>
  </conditionalFormatting>
  <dataValidations count="3">
    <dataValidation type="list" allowBlank="1" showInputMessage="1" showErrorMessage="1" sqref="F5:F50" xr:uid="{B0647CEB-3C87-4862-96AF-75C78CC83504}">
      <formula1>IF(OR(D5="CANCELADO HOGAR",D5="CANCELADO MOVIL"),$Z$5:$Z$7,"-")</formula1>
    </dataValidation>
    <dataValidation type="list" allowBlank="1" showInputMessage="1" showErrorMessage="1" sqref="E5:E50" xr:uid="{6A815DC8-D12E-40E7-9D9F-75C52E2DB14D}">
      <formula1>IF(OR(D5="RETENIDO HOGAR",D5="RETENIDO MOVIL"),$Z$5:$Z$7,"-")</formula1>
    </dataValidation>
    <dataValidation type="list" allowBlank="1" showInputMessage="1" showErrorMessage="1" sqref="D5:D50" xr:uid="{5782830F-07E3-421C-AAAA-72B006FF9F65}">
      <formula1>$Y$5:$Y$13</formula1>
    </dataValidation>
  </dataValidations>
  <hyperlinks>
    <hyperlink ref="B2" location="GENERAL!A1" display="MENÚ PRINCIPAL" xr:uid="{9C61E0BC-6B65-4163-A2C7-A1C1F0767E48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945793-77D6-4733-8CAE-9F2B66497E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3D6EF924-0E21-41D1-904C-717905E8A0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8FC12BEB-BEF9-4546-A0B4-E0BCF7B39DA8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30E833B1-84F7-4E65-9547-87D1A7CD086A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4E1BB432-D65E-463F-A230-9CA49C2E40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90B76FC3-ABF9-49B0-B0F6-3D74231AC4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4AADAFA1-A966-47EB-A420-B28CEE4058F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FC8B7ADC-1A97-47B0-92A4-EC633B6C89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13C1-2475-499A-B547-0B25D068FBC8}">
  <dimension ref="A1:AA51"/>
  <sheetViews>
    <sheetView showGridLines="0" zoomScale="70" zoomScaleNormal="70" workbookViewId="0">
      <selection activeCell="B2" sqref="B2"/>
    </sheetView>
  </sheetViews>
  <sheetFormatPr baseColWidth="10" defaultColWidth="0" defaultRowHeight="15"/>
  <cols>
    <col min="1" max="1" width="2.28515625" customWidth="1"/>
    <col min="2" max="2" width="21.5703125" customWidth="1"/>
    <col min="3" max="3" width="18.85546875" customWidth="1"/>
    <col min="4" max="4" width="25.140625" customWidth="1"/>
    <col min="5" max="5" width="16.85546875" customWidth="1"/>
    <col min="6" max="6" width="16.5703125" customWidth="1"/>
    <col min="7" max="7" width="3.5703125" customWidth="1"/>
    <col min="8" max="8" width="12.7109375" customWidth="1"/>
    <col min="9" max="9" width="14.42578125" customWidth="1"/>
    <col min="10" max="10" width="11.85546875" customWidth="1"/>
    <col min="11" max="11" width="14" customWidth="1"/>
    <col min="12" max="12" width="10.5703125" customWidth="1"/>
    <col min="13" max="13" width="11.42578125" customWidth="1"/>
    <col min="14" max="14" width="12.7109375" customWidth="1"/>
    <col min="15" max="15" width="17.85546875" customWidth="1"/>
    <col min="16" max="16" width="12.28515625" customWidth="1"/>
    <col min="17" max="17" width="12.7109375" customWidth="1"/>
    <col min="18" max="18" width="5.7109375" customWidth="1"/>
    <col min="19" max="19" width="5.140625" customWidth="1"/>
    <col min="20" max="20" width="16.42578125" hidden="1" customWidth="1"/>
    <col min="21" max="23" width="11.42578125" hidden="1" customWidth="1"/>
    <col min="24" max="24" width="3" hidden="1" customWidth="1"/>
    <col min="25" max="25" width="24.28515625" hidden="1" customWidth="1"/>
    <col min="26" max="27" width="14.42578125" hidden="1" customWidth="1"/>
    <col min="28" max="16384" width="11.42578125" hidden="1"/>
  </cols>
  <sheetData>
    <row r="1" spans="2:27" ht="3.75" customHeight="1" thickBot="1"/>
    <row r="2" spans="2:27" ht="60" customHeight="1" thickBot="1">
      <c r="B2" s="77" t="s">
        <v>0</v>
      </c>
      <c r="C2" s="43" t="s">
        <v>1</v>
      </c>
      <c r="E2" s="261" t="s">
        <v>2</v>
      </c>
      <c r="F2" s="262"/>
      <c r="G2" s="264">
        <f>GENERAL!B7</f>
        <v>1</v>
      </c>
      <c r="H2" s="265"/>
      <c r="I2" s="278" t="s">
        <v>3</v>
      </c>
      <c r="J2" s="279"/>
      <c r="K2" s="20" t="str">
        <f>GENERAL!E7</f>
        <v>-</v>
      </c>
      <c r="M2" s="263" t="s">
        <v>4</v>
      </c>
      <c r="N2" s="263"/>
      <c r="O2" s="2">
        <f>GENERAL!K7</f>
        <v>1</v>
      </c>
    </row>
    <row r="3" spans="2:27" ht="15.75" thickBot="1">
      <c r="B3" s="1"/>
      <c r="Z3" s="4"/>
    </row>
    <row r="4" spans="2:27" ht="57.75" thickTop="1" thickBot="1">
      <c r="B4" s="79" t="s">
        <v>57</v>
      </c>
      <c r="C4" s="23" t="s">
        <v>5</v>
      </c>
      <c r="D4" s="25" t="s">
        <v>6</v>
      </c>
      <c r="E4" s="41" t="s">
        <v>33</v>
      </c>
      <c r="F4" s="42" t="s">
        <v>305</v>
      </c>
      <c r="G4" s="1"/>
      <c r="H4" s="21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  <c r="O4" s="22" t="s">
        <v>15</v>
      </c>
      <c r="P4" s="44" t="s">
        <v>16</v>
      </c>
      <c r="Q4" s="45" t="s">
        <v>17</v>
      </c>
      <c r="S4" s="1"/>
      <c r="T4" s="295" t="s">
        <v>29</v>
      </c>
      <c r="U4" s="5" t="s">
        <v>30</v>
      </c>
      <c r="V4" s="5" t="s">
        <v>30</v>
      </c>
      <c r="W4" s="5" t="s">
        <v>30</v>
      </c>
      <c r="Y4" s="6" t="s">
        <v>19</v>
      </c>
      <c r="Z4" s="26" t="s">
        <v>7</v>
      </c>
      <c r="AA4" s="28" t="s">
        <v>7</v>
      </c>
    </row>
    <row r="5" spans="2:27" ht="26.25" customHeight="1" thickTop="1" thickBot="1">
      <c r="B5" s="52"/>
      <c r="C5" s="53"/>
      <c r="D5" s="54"/>
      <c r="E5" s="38"/>
      <c r="F5" s="36"/>
      <c r="G5" s="1"/>
      <c r="H5" s="18">
        <f>COUNT(B5:B50)</f>
        <v>0</v>
      </c>
      <c r="I5" s="17">
        <f>COUNTIF($D$5:$D$50,"RETENIDO HOGAR")</f>
        <v>0</v>
      </c>
      <c r="J5" s="19">
        <f>COUNTIF($D$5:$D$50,"CANCELADO HOGAR")</f>
        <v>0</v>
      </c>
      <c r="K5" s="17">
        <f>COUNTIF($D$5:$D$50,"RETENIDO MOVIL")</f>
        <v>0</v>
      </c>
      <c r="L5" s="19">
        <f>COUNTIF($D$5:$D$50,"CANCELADO MOVIL")</f>
        <v>0</v>
      </c>
      <c r="M5" s="17">
        <f>COUNTIF(D5:D50,"INF_NIA")</f>
        <v>0</v>
      </c>
      <c r="N5" s="19">
        <f>COUNTIF(D5:D50,"IDENTIDA")</f>
        <v>0</v>
      </c>
      <c r="O5" s="17">
        <f>COUNTIF(D5:D50,"GES_NCC")</f>
        <v>0</v>
      </c>
      <c r="P5" s="18">
        <f>COUNTIF($D$5:$D$50,"MAL TRANSFERIDA")</f>
        <v>0</v>
      </c>
      <c r="Q5" s="46">
        <f>COUNTIF($D$5:$D$50,"LLAMADA CAIDA")</f>
        <v>0</v>
      </c>
      <c r="S5" s="1"/>
      <c r="T5" s="295"/>
      <c r="U5" s="7">
        <v>0.74</v>
      </c>
      <c r="V5" s="7">
        <v>0.76</v>
      </c>
      <c r="W5" s="7">
        <v>0.78</v>
      </c>
      <c r="Y5" s="8" t="s">
        <v>20</v>
      </c>
      <c r="Z5" s="27">
        <v>1</v>
      </c>
      <c r="AA5" s="29">
        <v>1</v>
      </c>
    </row>
    <row r="6" spans="2:27" ht="19.5" customHeight="1" thickTop="1" thickBot="1">
      <c r="B6" s="30"/>
      <c r="C6" s="32"/>
      <c r="D6" s="34"/>
      <c r="E6" s="39"/>
      <c r="F6" s="36"/>
      <c r="G6" s="1"/>
      <c r="T6" s="9">
        <v>17</v>
      </c>
      <c r="U6" s="10">
        <v>2300</v>
      </c>
      <c r="V6" s="10">
        <v>2600</v>
      </c>
      <c r="W6" s="10">
        <v>2900</v>
      </c>
      <c r="Y6" s="8" t="s">
        <v>31</v>
      </c>
      <c r="Z6" s="11">
        <v>2</v>
      </c>
    </row>
    <row r="7" spans="2:27" ht="19.5" customHeight="1" thickTop="1" thickBot="1">
      <c r="B7" s="30"/>
      <c r="C7" s="32"/>
      <c r="D7" s="34"/>
      <c r="E7" s="39"/>
      <c r="F7" s="36"/>
      <c r="G7" s="1"/>
      <c r="T7" s="9">
        <v>19</v>
      </c>
      <c r="U7" s="10">
        <v>2700</v>
      </c>
      <c r="V7" s="10">
        <v>3000</v>
      </c>
      <c r="W7" s="10">
        <v>3300</v>
      </c>
      <c r="Y7" s="8" t="s">
        <v>21</v>
      </c>
      <c r="Z7" s="11">
        <v>3</v>
      </c>
    </row>
    <row r="8" spans="2:27" ht="19.5" customHeight="1" thickTop="1" thickBot="1">
      <c r="B8" s="30"/>
      <c r="C8" s="32"/>
      <c r="D8" s="34"/>
      <c r="E8" s="39"/>
      <c r="F8" s="36"/>
      <c r="G8" s="1"/>
      <c r="H8" s="296" t="s">
        <v>22</v>
      </c>
      <c r="I8" s="297"/>
      <c r="J8" s="298"/>
      <c r="K8" s="296" t="s">
        <v>23</v>
      </c>
      <c r="L8" s="297"/>
      <c r="M8" s="298"/>
      <c r="N8" s="305" t="s">
        <v>24</v>
      </c>
      <c r="O8" s="306"/>
      <c r="P8" s="296" t="s">
        <v>25</v>
      </c>
      <c r="Q8" s="297"/>
      <c r="R8" s="298"/>
      <c r="T8" s="9">
        <v>21</v>
      </c>
      <c r="U8" s="10">
        <v>3000</v>
      </c>
      <c r="V8" s="10">
        <v>3300</v>
      </c>
      <c r="W8" s="10">
        <v>3600</v>
      </c>
      <c r="Y8" s="12" t="s">
        <v>32</v>
      </c>
    </row>
    <row r="9" spans="2:27" ht="19.5" customHeight="1" thickTop="1" thickBot="1">
      <c r="B9" s="30"/>
      <c r="C9" s="32"/>
      <c r="D9" s="34"/>
      <c r="E9" s="39"/>
      <c r="F9" s="36"/>
      <c r="G9" s="1"/>
      <c r="H9" s="299"/>
      <c r="I9" s="300"/>
      <c r="J9" s="301"/>
      <c r="K9" s="299"/>
      <c r="L9" s="300"/>
      <c r="M9" s="301"/>
      <c r="N9" s="307"/>
      <c r="O9" s="308"/>
      <c r="P9" s="299"/>
      <c r="Q9" s="300"/>
      <c r="R9" s="301"/>
      <c r="T9" s="9">
        <v>23</v>
      </c>
      <c r="U9" s="10">
        <v>3300</v>
      </c>
      <c r="V9" s="10">
        <v>3600</v>
      </c>
      <c r="W9" s="10">
        <v>3900</v>
      </c>
      <c r="Y9" s="8" t="s">
        <v>13</v>
      </c>
    </row>
    <row r="10" spans="2:27" ht="19.5" customHeight="1" thickTop="1" thickBot="1">
      <c r="B10" s="30"/>
      <c r="C10" s="32"/>
      <c r="D10" s="34"/>
      <c r="E10" s="39"/>
      <c r="F10" s="36"/>
      <c r="G10" s="1"/>
      <c r="H10" s="302"/>
      <c r="I10" s="303"/>
      <c r="J10" s="304"/>
      <c r="K10" s="302"/>
      <c r="L10" s="303"/>
      <c r="M10" s="304"/>
      <c r="N10" s="307"/>
      <c r="O10" s="308"/>
      <c r="P10" s="302"/>
      <c r="Q10" s="303"/>
      <c r="R10" s="304"/>
      <c r="Y10" s="8" t="s">
        <v>14</v>
      </c>
    </row>
    <row r="11" spans="2:27" ht="19.5" customHeight="1">
      <c r="B11" s="30"/>
      <c r="C11" s="32"/>
      <c r="D11" s="34"/>
      <c r="E11" s="39"/>
      <c r="F11" s="36"/>
      <c r="G11" s="1"/>
      <c r="H11" s="280" t="str">
        <f>IFERROR(I5/SUM(I5:J5),"-")</f>
        <v>-</v>
      </c>
      <c r="I11" s="281"/>
      <c r="J11" s="282"/>
      <c r="K11" s="280" t="str">
        <f>IFERROR(K5/SUM(K5:L5),"-")</f>
        <v>-</v>
      </c>
      <c r="L11" s="281"/>
      <c r="M11" s="282"/>
      <c r="N11" s="309" t="str" cm="1">
        <f t="array" ref="N11">IFERROR(SUM(I5:O5/H5),"-")</f>
        <v>-</v>
      </c>
      <c r="O11" s="310"/>
      <c r="P11" s="280" t="str">
        <f>IFERROR(SUM(I5,K5)/SUM(I5:L5),"-")</f>
        <v>-</v>
      </c>
      <c r="Q11" s="281"/>
      <c r="R11" s="282"/>
      <c r="Y11" s="8" t="s">
        <v>15</v>
      </c>
    </row>
    <row r="12" spans="2:27" ht="19.5" customHeight="1">
      <c r="B12" s="30"/>
      <c r="C12" s="32"/>
      <c r="D12" s="34"/>
      <c r="E12" s="39"/>
      <c r="F12" s="36"/>
      <c r="G12" s="1"/>
      <c r="H12" s="283"/>
      <c r="I12" s="284"/>
      <c r="J12" s="285"/>
      <c r="K12" s="283"/>
      <c r="L12" s="284"/>
      <c r="M12" s="285"/>
      <c r="N12" s="311"/>
      <c r="O12" s="312"/>
      <c r="P12" s="283"/>
      <c r="Q12" s="284"/>
      <c r="R12" s="285"/>
      <c r="Y12" s="13" t="s">
        <v>26</v>
      </c>
    </row>
    <row r="13" spans="2:27" ht="19.5" customHeight="1" thickBot="1">
      <c r="B13" s="30"/>
      <c r="C13" s="32"/>
      <c r="D13" s="34"/>
      <c r="E13" s="39"/>
      <c r="F13" s="36"/>
      <c r="G13" s="1"/>
      <c r="H13" s="286"/>
      <c r="I13" s="287"/>
      <c r="J13" s="288"/>
      <c r="K13" s="286"/>
      <c r="L13" s="287"/>
      <c r="M13" s="288"/>
      <c r="N13" s="313"/>
      <c r="O13" s="314"/>
      <c r="P13" s="286"/>
      <c r="Q13" s="287"/>
      <c r="R13" s="288"/>
      <c r="Y13" s="8" t="s">
        <v>17</v>
      </c>
    </row>
    <row r="14" spans="2:27" ht="19.5" customHeight="1" thickBot="1">
      <c r="B14" s="30"/>
      <c r="C14" s="32"/>
      <c r="D14" s="34"/>
      <c r="E14" s="39"/>
      <c r="F14" s="36"/>
      <c r="K14" s="1"/>
      <c r="L14" s="1"/>
      <c r="M14" s="1"/>
      <c r="N14" s="1"/>
      <c r="O14" s="1"/>
      <c r="P14" s="1"/>
      <c r="Q14" s="1"/>
      <c r="R14" s="1"/>
      <c r="S14" s="1"/>
      <c r="Y14" s="1"/>
    </row>
    <row r="15" spans="2:27" ht="19.5" customHeight="1">
      <c r="B15" s="30"/>
      <c r="C15" s="32"/>
      <c r="D15" s="34"/>
      <c r="E15" s="39"/>
      <c r="F15" s="36"/>
      <c r="J15" s="246" t="s">
        <v>28</v>
      </c>
      <c r="K15" s="247"/>
      <c r="L15" s="247"/>
      <c r="M15" s="248"/>
      <c r="N15" s="266" t="s">
        <v>305</v>
      </c>
      <c r="O15" s="267"/>
      <c r="P15" s="268"/>
      <c r="Q15" s="14"/>
      <c r="R15" s="14"/>
      <c r="S15" s="1"/>
      <c r="T15" s="1"/>
      <c r="U15" s="1"/>
      <c r="V15" s="1"/>
      <c r="W15" s="1"/>
      <c r="X15" s="1"/>
      <c r="Y15" s="1"/>
    </row>
    <row r="16" spans="2:27" ht="19.5" customHeight="1">
      <c r="B16" s="30"/>
      <c r="C16" s="32"/>
      <c r="D16" s="34"/>
      <c r="E16" s="39"/>
      <c r="F16" s="36"/>
      <c r="J16" s="249"/>
      <c r="K16" s="250"/>
      <c r="L16" s="250"/>
      <c r="M16" s="251"/>
      <c r="N16" s="269"/>
      <c r="O16" s="270"/>
      <c r="P16" s="271"/>
      <c r="R16" s="15"/>
    </row>
    <row r="17" spans="2:18" ht="23.25" customHeight="1" thickBot="1">
      <c r="B17" s="30"/>
      <c r="C17" s="32"/>
      <c r="D17" s="34"/>
      <c r="E17" s="39"/>
      <c r="F17" s="36"/>
      <c r="J17" s="252"/>
      <c r="K17" s="253"/>
      <c r="L17" s="253"/>
      <c r="M17" s="254"/>
      <c r="N17" s="272"/>
      <c r="O17" s="273"/>
      <c r="P17" s="274"/>
      <c r="R17" s="15"/>
    </row>
    <row r="18" spans="2:18" ht="27" customHeight="1">
      <c r="B18" s="30"/>
      <c r="C18" s="32"/>
      <c r="D18" s="34"/>
      <c r="E18" s="39"/>
      <c r="F18" s="36"/>
      <c r="J18" s="255">
        <f>IFERROR(SUM($E$5:$E$50),"-")</f>
        <v>0</v>
      </c>
      <c r="K18" s="256"/>
      <c r="L18" s="256"/>
      <c r="M18" s="257"/>
      <c r="N18" s="275">
        <f>SUM(F5:F50)</f>
        <v>0</v>
      </c>
      <c r="O18" s="276"/>
      <c r="P18" s="277"/>
      <c r="R18" s="15"/>
    </row>
    <row r="19" spans="2:18" ht="27" customHeight="1" thickBot="1">
      <c r="B19" s="30"/>
      <c r="C19" s="32"/>
      <c r="D19" s="34"/>
      <c r="E19" s="39"/>
      <c r="F19" s="36"/>
      <c r="J19" s="258"/>
      <c r="K19" s="259"/>
      <c r="L19" s="259"/>
      <c r="M19" s="260"/>
      <c r="N19" s="258"/>
      <c r="O19" s="259"/>
      <c r="P19" s="260"/>
      <c r="R19" s="15"/>
    </row>
    <row r="20" spans="2:18" ht="19.5" customHeight="1" thickBot="1">
      <c r="B20" s="30"/>
      <c r="C20" s="32"/>
      <c r="D20" s="34"/>
      <c r="E20" s="39"/>
      <c r="F20" s="36"/>
      <c r="R20" s="16"/>
    </row>
    <row r="21" spans="2:18" ht="19.5" customHeight="1">
      <c r="B21" s="30"/>
      <c r="C21" s="32"/>
      <c r="D21" s="34"/>
      <c r="E21" s="39"/>
      <c r="F21" s="36"/>
      <c r="I21" s="231" t="s">
        <v>27</v>
      </c>
      <c r="J21" s="232"/>
      <c r="K21" s="232"/>
      <c r="L21" s="232"/>
      <c r="M21" s="232"/>
      <c r="N21" s="232"/>
      <c r="O21" s="232"/>
      <c r="P21" s="232"/>
      <c r="Q21" s="233"/>
      <c r="R21" s="16"/>
    </row>
    <row r="22" spans="2:18" ht="19.5" customHeight="1">
      <c r="B22" s="30"/>
      <c r="C22" s="32"/>
      <c r="D22" s="34"/>
      <c r="E22" s="39"/>
      <c r="F22" s="36"/>
      <c r="I22" s="234"/>
      <c r="J22" s="235"/>
      <c r="K22" s="235"/>
      <c r="L22" s="235"/>
      <c r="M22" s="235"/>
      <c r="N22" s="235"/>
      <c r="O22" s="235"/>
      <c r="P22" s="235"/>
      <c r="Q22" s="236"/>
      <c r="R22" s="16"/>
    </row>
    <row r="23" spans="2:18" ht="19.5" customHeight="1">
      <c r="B23" s="30"/>
      <c r="C23" s="32"/>
      <c r="D23" s="34"/>
      <c r="E23" s="39"/>
      <c r="F23" s="36"/>
      <c r="I23" s="234"/>
      <c r="J23" s="235"/>
      <c r="K23" s="235"/>
      <c r="L23" s="235"/>
      <c r="M23" s="235"/>
      <c r="N23" s="235"/>
      <c r="O23" s="235"/>
      <c r="P23" s="235"/>
      <c r="Q23" s="236"/>
      <c r="R23" s="16"/>
    </row>
    <row r="24" spans="2:18" ht="19.5" customHeight="1" thickBot="1">
      <c r="B24" s="30"/>
      <c r="C24" s="32"/>
      <c r="D24" s="34"/>
      <c r="E24" s="39"/>
      <c r="F24" s="36"/>
      <c r="I24" s="234"/>
      <c r="J24" s="235"/>
      <c r="K24" s="235"/>
      <c r="L24" s="235"/>
      <c r="M24" s="235"/>
      <c r="N24" s="235"/>
      <c r="O24" s="235"/>
      <c r="P24" s="235"/>
      <c r="Q24" s="236"/>
      <c r="R24" s="16"/>
    </row>
    <row r="25" spans="2:18" ht="19.5" customHeight="1">
      <c r="B25" s="30"/>
      <c r="C25" s="32"/>
      <c r="D25" s="34"/>
      <c r="E25" s="39"/>
      <c r="F25" s="36"/>
      <c r="I25" s="237" t="str">
        <f>IF(AND(J18&gt;=T9,O2&gt;=W5),J18*W9,IF(AND(J18&gt;=T8,J18&lt;T9,O2&gt;=W5),J18*W8,IF(AND(J18&gt;=T7,J18&lt;T8,O2&gt;=W5),J18*W7,IF(AND(J18&gt;=T6,J18&lt;T7,O2&gt;=W5),J18*W6,IF(AND(J18&gt;=T9,O2&gt;=V5,O2&lt;W5),J18*V9,IF(AND(J18&gt;=T9,O2&gt;=V5,O2&lt;W5),J18*V8,IF(AND(J18&gt;=T7,J18&lt;T8,O2&gt;=V5,O2&lt;W5),J18*V7,IF(AND(J18&gt;=T6,J18&lt;T7,O2&gt;=V5,O2&lt;W5),J18*V6,IF(AND(J18&gt;=T9,O2&gt;=U5,O2&lt;V5),J18*U9,IF(AND(J18&gt;=T8,J18&lt;T9,O2&gt;=U5,O2&lt;V5),J18*U8,IF(AND(J18&gt;=T7,J18&lt;T8,O2&gt;=U5,O2&lt;V5),J18*U7,IF(AND(J18&gt;=T6,J18&lt;T7,O2&gt;=U5,O2&lt;V5),J18*U6,"MUY SUAVE EN RETENIDOS 🥱"))))))))))))</f>
        <v>MUY SUAVE EN RETENIDOS 🥱</v>
      </c>
      <c r="J25" s="238"/>
      <c r="K25" s="238"/>
      <c r="L25" s="238"/>
      <c r="M25" s="238"/>
      <c r="N25" s="238"/>
      <c r="O25" s="238"/>
      <c r="P25" s="238"/>
      <c r="Q25" s="239"/>
      <c r="R25" s="1"/>
    </row>
    <row r="26" spans="2:18" ht="19.5" customHeight="1">
      <c r="B26" s="30"/>
      <c r="C26" s="32"/>
      <c r="D26" s="34"/>
      <c r="E26" s="39"/>
      <c r="F26" s="36"/>
      <c r="I26" s="240"/>
      <c r="J26" s="241"/>
      <c r="K26" s="241"/>
      <c r="L26" s="241"/>
      <c r="M26" s="241"/>
      <c r="N26" s="241"/>
      <c r="O26" s="241"/>
      <c r="P26" s="241"/>
      <c r="Q26" s="242"/>
      <c r="R26" s="1"/>
    </row>
    <row r="27" spans="2:18" ht="19.5" customHeight="1">
      <c r="B27" s="30"/>
      <c r="C27" s="32"/>
      <c r="D27" s="34"/>
      <c r="E27" s="39"/>
      <c r="F27" s="36"/>
      <c r="I27" s="240"/>
      <c r="J27" s="241"/>
      <c r="K27" s="241"/>
      <c r="L27" s="241"/>
      <c r="M27" s="241"/>
      <c r="N27" s="241"/>
      <c r="O27" s="241"/>
      <c r="P27" s="241"/>
      <c r="Q27" s="242"/>
    </row>
    <row r="28" spans="2:18" ht="19.5" customHeight="1">
      <c r="B28" s="30"/>
      <c r="C28" s="32"/>
      <c r="D28" s="34"/>
      <c r="E28" s="39"/>
      <c r="F28" s="36"/>
      <c r="I28" s="240"/>
      <c r="J28" s="241"/>
      <c r="K28" s="241"/>
      <c r="L28" s="241"/>
      <c r="M28" s="241"/>
      <c r="N28" s="241"/>
      <c r="O28" s="241"/>
      <c r="P28" s="241"/>
      <c r="Q28" s="242"/>
    </row>
    <row r="29" spans="2:18" ht="19.5" customHeight="1" thickBot="1">
      <c r="B29" s="30"/>
      <c r="C29" s="32"/>
      <c r="D29" s="34"/>
      <c r="E29" s="39"/>
      <c r="F29" s="36"/>
      <c r="I29" s="243"/>
      <c r="J29" s="244"/>
      <c r="K29" s="244"/>
      <c r="L29" s="244"/>
      <c r="M29" s="244"/>
      <c r="N29" s="244"/>
      <c r="O29" s="244"/>
      <c r="P29" s="244"/>
      <c r="Q29" s="245"/>
    </row>
    <row r="30" spans="2:18" ht="19.5" customHeight="1">
      <c r="B30" s="30"/>
      <c r="C30" s="32"/>
      <c r="D30" s="34"/>
      <c r="E30" s="39"/>
      <c r="F30" s="36"/>
      <c r="G30" s="1"/>
    </row>
    <row r="31" spans="2:18" ht="19.5" customHeight="1">
      <c r="B31" s="30"/>
      <c r="C31" s="32"/>
      <c r="D31" s="34"/>
      <c r="E31" s="39"/>
      <c r="F31" s="36"/>
      <c r="G31" s="1"/>
    </row>
    <row r="32" spans="2:18" ht="19.5" customHeight="1">
      <c r="B32" s="30"/>
      <c r="C32" s="32"/>
      <c r="D32" s="34"/>
      <c r="E32" s="39"/>
      <c r="F32" s="36"/>
      <c r="G32" s="1"/>
    </row>
    <row r="33" spans="2:9" ht="19.5" customHeight="1">
      <c r="B33" s="30"/>
      <c r="C33" s="32"/>
      <c r="D33" s="34"/>
      <c r="E33" s="39"/>
      <c r="F33" s="36"/>
      <c r="G33" s="1"/>
      <c r="I33" s="78"/>
    </row>
    <row r="34" spans="2:9" ht="19.5" customHeight="1">
      <c r="B34" s="30"/>
      <c r="C34" s="32"/>
      <c r="D34" s="34"/>
      <c r="E34" s="39"/>
      <c r="F34" s="36"/>
      <c r="G34" s="1"/>
    </row>
    <row r="35" spans="2:9" ht="19.5" customHeight="1">
      <c r="B35" s="30"/>
      <c r="C35" s="32"/>
      <c r="D35" s="34"/>
      <c r="E35" s="39"/>
      <c r="F35" s="36"/>
      <c r="G35" s="1"/>
    </row>
    <row r="36" spans="2:9" ht="19.5" customHeight="1">
      <c r="B36" s="30"/>
      <c r="C36" s="32"/>
      <c r="D36" s="34"/>
      <c r="E36" s="39"/>
      <c r="F36" s="36"/>
      <c r="G36" s="1"/>
    </row>
    <row r="37" spans="2:9" ht="19.5" customHeight="1">
      <c r="B37" s="30"/>
      <c r="C37" s="32"/>
      <c r="D37" s="34"/>
      <c r="E37" s="39"/>
      <c r="F37" s="36"/>
      <c r="G37" s="1"/>
    </row>
    <row r="38" spans="2:9" ht="19.5" customHeight="1">
      <c r="B38" s="30"/>
      <c r="C38" s="32"/>
      <c r="D38" s="34"/>
      <c r="E38" s="39"/>
      <c r="F38" s="36"/>
      <c r="G38" s="1"/>
    </row>
    <row r="39" spans="2:9" ht="19.5" customHeight="1">
      <c r="B39" s="30"/>
      <c r="C39" s="32"/>
      <c r="D39" s="34"/>
      <c r="E39" s="39"/>
      <c r="F39" s="36"/>
      <c r="G39" s="1"/>
    </row>
    <row r="40" spans="2:9" ht="19.5" customHeight="1">
      <c r="B40" s="30"/>
      <c r="C40" s="32"/>
      <c r="D40" s="34"/>
      <c r="E40" s="39"/>
      <c r="F40" s="36"/>
      <c r="G40" s="1"/>
    </row>
    <row r="41" spans="2:9" ht="19.5" customHeight="1">
      <c r="B41" s="30"/>
      <c r="C41" s="32"/>
      <c r="D41" s="34"/>
      <c r="E41" s="39"/>
      <c r="F41" s="36"/>
      <c r="G41" s="1"/>
    </row>
    <row r="42" spans="2:9" ht="19.5" customHeight="1">
      <c r="B42" s="30"/>
      <c r="C42" s="32"/>
      <c r="D42" s="34"/>
      <c r="E42" s="39"/>
      <c r="F42" s="36"/>
      <c r="G42" s="1"/>
    </row>
    <row r="43" spans="2:9" ht="19.5" customHeight="1">
      <c r="B43" s="30"/>
      <c r="C43" s="32"/>
      <c r="D43" s="34"/>
      <c r="E43" s="39"/>
      <c r="F43" s="36"/>
      <c r="G43" s="1"/>
    </row>
    <row r="44" spans="2:9" ht="19.5" customHeight="1">
      <c r="B44" s="30"/>
      <c r="C44" s="32"/>
      <c r="D44" s="34"/>
      <c r="E44" s="39"/>
      <c r="F44" s="36"/>
      <c r="G44" s="1"/>
    </row>
    <row r="45" spans="2:9" ht="19.5" customHeight="1">
      <c r="B45" s="30"/>
      <c r="C45" s="32"/>
      <c r="D45" s="34"/>
      <c r="E45" s="39"/>
      <c r="F45" s="36"/>
      <c r="G45" s="1"/>
    </row>
    <row r="46" spans="2:9" ht="19.5" customHeight="1">
      <c r="B46" s="30"/>
      <c r="C46" s="32"/>
      <c r="D46" s="34"/>
      <c r="E46" s="39"/>
      <c r="F46" s="36"/>
      <c r="G46" s="1"/>
    </row>
    <row r="47" spans="2:9" ht="19.5" customHeight="1">
      <c r="B47" s="30"/>
      <c r="C47" s="32"/>
      <c r="D47" s="34"/>
      <c r="E47" s="39"/>
      <c r="F47" s="36"/>
      <c r="G47" s="1"/>
    </row>
    <row r="48" spans="2:9" ht="19.5" customHeight="1">
      <c r="B48" s="30"/>
      <c r="C48" s="32"/>
      <c r="D48" s="34"/>
      <c r="E48" s="39"/>
      <c r="F48" s="36"/>
      <c r="G48" s="1"/>
    </row>
    <row r="49" spans="2:7" ht="19.5" customHeight="1">
      <c r="B49" s="30"/>
      <c r="C49" s="32"/>
      <c r="D49" s="34"/>
      <c r="E49" s="39"/>
      <c r="F49" s="36"/>
      <c r="G49" s="1"/>
    </row>
    <row r="50" spans="2:7" ht="19.5" customHeight="1" thickBot="1">
      <c r="B50" s="31"/>
      <c r="C50" s="33"/>
      <c r="D50" s="35"/>
      <c r="E50" s="40"/>
      <c r="F50" s="37"/>
      <c r="G50" s="1"/>
    </row>
    <row r="51" spans="2:7">
      <c r="B51" s="1"/>
      <c r="C51" s="1"/>
      <c r="D51" s="3"/>
      <c r="E51" s="3"/>
      <c r="F51" s="1"/>
      <c r="G51" s="1"/>
    </row>
  </sheetData>
  <mergeCells count="19">
    <mergeCell ref="H8:J10"/>
    <mergeCell ref="K8:M10"/>
    <mergeCell ref="N8:O10"/>
    <mergeCell ref="P8:R10"/>
    <mergeCell ref="J15:M17"/>
    <mergeCell ref="N15:P17"/>
    <mergeCell ref="E2:F2"/>
    <mergeCell ref="G2:H2"/>
    <mergeCell ref="I2:J2"/>
    <mergeCell ref="M2:N2"/>
    <mergeCell ref="T4:T5"/>
    <mergeCell ref="I21:Q24"/>
    <mergeCell ref="I25:Q29"/>
    <mergeCell ref="H11:J13"/>
    <mergeCell ref="K11:M13"/>
    <mergeCell ref="N11:O13"/>
    <mergeCell ref="P11:R13"/>
    <mergeCell ref="J18:M19"/>
    <mergeCell ref="N18:P19"/>
  </mergeCells>
  <conditionalFormatting sqref="D5:D50">
    <cfRule type="containsText" dxfId="8" priority="11" operator="containsText" text="GES_NCC">
      <formula>NOT(ISERROR(SEARCH("GES_NCC",D5)))</formula>
    </cfRule>
    <cfRule type="containsText" dxfId="7" priority="12" operator="containsText" text="IDENTIDA">
      <formula>NOT(ISERROR(SEARCH("IDENTIDA",D5)))</formula>
    </cfRule>
    <cfRule type="containsText" dxfId="6" priority="13" operator="containsText" text="INF_NIA">
      <formula>NOT(ISERROR(SEARCH("INF_NIA",D5)))</formula>
    </cfRule>
    <cfRule type="containsText" dxfId="5" priority="14" operator="containsText" text="CANCELADO MOVIL">
      <formula>NOT(ISERROR(SEARCH("CANCELADO MOVIL",D5)))</formula>
    </cfRule>
    <cfRule type="containsText" dxfId="4" priority="15" operator="containsText" text="CANCELADO HOGAR">
      <formula>NOT(ISERROR(SEARCH("CANCELADO HOGAR",D5)))</formula>
    </cfRule>
    <cfRule type="containsText" dxfId="3" priority="16" operator="containsText" text="RETENIDO MOVIL">
      <formula>NOT(ISERROR(SEARCH("RETENIDO MOVIL",D5)))</formula>
    </cfRule>
    <cfRule type="containsText" dxfId="2" priority="17" operator="containsText" text="RETENIDO HOGAR">
      <formula>NOT(ISERROR(SEARCH("RETENIDO HOGAR",D5)))</formula>
    </cfRule>
    <cfRule type="containsText" dxfId="1" priority="18" operator="containsText" text="MAL TRANSFERIDA">
      <formula>NOT(ISERROR(SEARCH("MAL TRANSFERIDA",D5)))</formula>
    </cfRule>
    <cfRule type="containsText" dxfId="0" priority="19" operator="containsText" text="LLAMADA CAIDA">
      <formula>NOT(ISERROR(SEARCH("LLAMADA CAIDA",D5)))</formula>
    </cfRule>
  </conditionalFormatting>
  <conditionalFormatting sqref="H11">
    <cfRule type="iconSet" priority="4">
      <iconSet iconSet="3Symbols">
        <cfvo type="percent" val="0"/>
        <cfvo type="num" val="0.74"/>
        <cfvo type="num" val="0.76"/>
      </iconSet>
    </cfRule>
  </conditionalFormatting>
  <conditionalFormatting sqref="H15:I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{E1FB8C97-7B85-4541-919D-325982B9E0DF}</x14:id>
        </ext>
      </extLst>
    </cfRule>
  </conditionalFormatting>
  <conditionalFormatting sqref="I2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{4A2BFD75-6BC4-4BBC-84F5-38926EEC2AE9}</x14:id>
        </ext>
      </extLst>
    </cfRule>
  </conditionalFormatting>
  <conditionalFormatting sqref="K11">
    <cfRule type="iconSet" priority="3">
      <iconSet iconSet="3Symbols">
        <cfvo type="percent" val="0"/>
        <cfvo type="num" val="0.74"/>
        <cfvo type="num" val="0.76"/>
      </iconSet>
    </cfRule>
  </conditionalFormatting>
  <conditionalFormatting sqref="O2">
    <cfRule type="iconSet" priority="21">
      <iconSet iconSet="3Symbols">
        <cfvo type="percent" val="0"/>
        <cfvo type="num" val="0.74"/>
        <cfvo type="num" val="0.76"/>
      </iconSet>
    </cfRule>
  </conditionalFormatting>
  <conditionalFormatting sqref="P11">
    <cfRule type="iconSet" priority="5">
      <iconSet iconSet="3Symbols">
        <cfvo type="percent" val="0"/>
        <cfvo type="num" val="0.74"/>
        <cfvo type="num" val="0.76"/>
      </iconSet>
    </cfRule>
  </conditionalFormatting>
  <conditionalFormatting sqref="Q15:R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{A0C78375-1A85-400E-B438-055A3DD01630}</x14:id>
        </ext>
      </extLst>
    </cfRule>
  </conditionalFormatting>
  <conditionalFormatting sqref="U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{C173E8AD-1F1E-4019-945A-7E756D28AFDC}</x14:id>
        </ext>
      </extLst>
    </cfRule>
  </conditionalFormatting>
  <conditionalFormatting sqref="V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{6D2A3C68-8FA6-4310-B3EB-C4AD7B0D7BFB}</x14:id>
        </ext>
      </extLst>
    </cfRule>
  </conditionalFormatting>
  <conditionalFormatting sqref="W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{40411B52-D900-43BA-8B51-59F54276EA20}</x14:id>
        </ext>
      </extLst>
    </cfRule>
  </conditionalFormatting>
  <dataValidations count="3">
    <dataValidation type="list" allowBlank="1" showInputMessage="1" showErrorMessage="1" sqref="D5:D50" xr:uid="{B9AAFBAF-B929-4F97-8853-9594931957A4}">
      <formula1>$Y$5:$Y$13</formula1>
    </dataValidation>
    <dataValidation type="list" allowBlank="1" showInputMessage="1" showErrorMessage="1" sqref="E5:E50" xr:uid="{6C3260BA-0EC4-4A87-BEC6-1C9CCB44C4D3}">
      <formula1>IF(OR(D5="RETENIDO HOGAR",D5="RETENIDO MOVIL"),$Z$5:$Z$7,"-")</formula1>
    </dataValidation>
    <dataValidation type="list" allowBlank="1" showInputMessage="1" showErrorMessage="1" sqref="F5:F50" xr:uid="{5C3A48FB-057F-43E3-A0B8-809126D6AE69}">
      <formula1>IF(OR(D5="CANCELADO HOGAR",D5="CANCELADO MOVIL"),$Z$5:$Z$7,"-")</formula1>
    </dataValidation>
  </dataValidations>
  <hyperlinks>
    <hyperlink ref="B2" location="GENERAL!A1" display="MENÚ PRINCIPAL" xr:uid="{692AC302-5005-4CC5-949B-AAEAD0260034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FB8C97-7B85-4541-919D-325982B9E0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H15:I15</xm:sqref>
        </x14:conditionalFormatting>
        <x14:conditionalFormatting xmlns:xm="http://schemas.microsoft.com/office/excel/2006/main">
          <x14:cfRule type="dataBar" id="{4A2BFD75-6BC4-4BBC-84F5-38926EEC2AE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iconSet" priority="2" id="{75594053-3CF4-4461-9F0F-BF535D334DEC}">
            <x14:iconSet iconSet="3Symbols2" custom="1">
              <x14:cfvo type="percent">
                <xm:f>0</xm:f>
              </x14:cfvo>
              <x14:cfvo type="num">
                <xm:f>17</xm:f>
              </x14:cfvo>
              <x14:cfvo type="num">
                <xm:f>23</xm:f>
              </x14:cfvo>
              <x14:cfIcon iconSet="3Flags" iconId="0"/>
              <x14:cfIcon iconSet="3Flags" iconId="1"/>
              <x14:cfIcon iconSet="3Flag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20" id="{0AEFAF8B-7787-43D1-B377-D5769CFBA69A}">
            <x14:iconSet iconSet="3TrafficLights2" custom="1">
              <x14:cfvo type="percent">
                <xm:f>0</xm:f>
              </x14:cfvo>
              <x14:cfvo type="num">
                <xm:f>0.85</xm:f>
              </x14:cfvo>
              <x14:cfvo type="num">
                <xm:f>0.9</xm:f>
              </x14:cfvo>
              <x14:cfIcon iconSet="3TrafficLights2" iconId="0"/>
              <x14:cfIcon iconSet="3Symbols2" iconId="1"/>
              <x14:cfIcon iconSet="3Symbols2" iconId="2"/>
            </x14:iconSet>
          </x14:cfRule>
          <xm:sqref>N11:O13</xm:sqref>
        </x14:conditionalFormatting>
        <x14:conditionalFormatting xmlns:xm="http://schemas.microsoft.com/office/excel/2006/main">
          <x14:cfRule type="dataBar" id="{A0C78375-1A85-400E-B438-055A3DD016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Q15:R15</xm:sqref>
        </x14:conditionalFormatting>
        <x14:conditionalFormatting xmlns:xm="http://schemas.microsoft.com/office/excel/2006/main">
          <x14:cfRule type="dataBar" id="{C173E8AD-1F1E-4019-945A-7E756D28AF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U5</xm:sqref>
        </x14:conditionalFormatting>
        <x14:conditionalFormatting xmlns:xm="http://schemas.microsoft.com/office/excel/2006/main">
          <x14:cfRule type="dataBar" id="{6D2A3C68-8FA6-4310-B3EB-C4AD7B0D7BF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V5</xm:sqref>
        </x14:conditionalFormatting>
        <x14:conditionalFormatting xmlns:xm="http://schemas.microsoft.com/office/excel/2006/main">
          <x14:cfRule type="dataBar" id="{40411B52-D900-43BA-8B51-59F54276EA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E.D</vt:lpstr>
      <vt:lpstr>PTAR</vt:lpstr>
      <vt:lpstr>GENERAL</vt:lpstr>
      <vt:lpstr>01-09</vt:lpstr>
      <vt:lpstr>02-09</vt:lpstr>
      <vt:lpstr>03-09</vt:lpstr>
      <vt:lpstr>04-09</vt:lpstr>
      <vt:lpstr>05-09</vt:lpstr>
      <vt:lpstr>06-09</vt:lpstr>
      <vt:lpstr>08-09</vt:lpstr>
      <vt:lpstr>09-09</vt:lpstr>
      <vt:lpstr>10-09</vt:lpstr>
      <vt:lpstr>11-09</vt:lpstr>
      <vt:lpstr>12-09</vt:lpstr>
      <vt:lpstr>13-09</vt:lpstr>
      <vt:lpstr>15-09</vt:lpstr>
      <vt:lpstr>16-09</vt:lpstr>
      <vt:lpstr>17-09</vt:lpstr>
      <vt:lpstr>18-09</vt:lpstr>
      <vt:lpstr>19-09</vt:lpstr>
      <vt:lpstr>20-09</vt:lpstr>
      <vt:lpstr>22-09</vt:lpstr>
      <vt:lpstr>23-09</vt:lpstr>
      <vt:lpstr>24-09</vt:lpstr>
      <vt:lpstr>25-09</vt:lpstr>
      <vt:lpstr>26-09</vt:lpstr>
      <vt:lpstr>27-09</vt:lpstr>
      <vt:lpstr>29-09</vt:lpstr>
      <vt:lpstr>30-09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Leyder Alvarez Pinilla</dc:creator>
  <cp:lastModifiedBy>Angie Alexandra Hernandez Alfonso</cp:lastModifiedBy>
  <dcterms:created xsi:type="dcterms:W3CDTF">2025-09-05T20:54:09Z</dcterms:created>
  <dcterms:modified xsi:type="dcterms:W3CDTF">2026-01-28T16:14:48Z</dcterms:modified>
</cp:coreProperties>
</file>