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https://unadvirtualedu-my.sharepoint.com/personal/agbecerras_unadvirtual_edu_co/Documents/Documents/Documentos recuperados/COS/Material Grupos Nuevos/Nuevos Materiales/"/>
    </mc:Choice>
  </mc:AlternateContent>
  <xr:revisionPtr revIDLastSave="2" documentId="11_D4F66D66514C527844B13FDE90C4FA66EB986057" xr6:coauthVersionLast="47" xr6:coauthVersionMax="47" xr10:uidLastSave="{03649CD1-4345-416E-B70D-F401C64490DE}"/>
  <bookViews>
    <workbookView xWindow="-120" yWindow="-120" windowWidth="20730" windowHeight="11160" xr2:uid="{00000000-000D-0000-FFFF-FFFF00000000}"/>
  </bookViews>
  <sheets>
    <sheet name="Cambio de Plan Inmedia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5" i="1" l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B17" i="1"/>
  <c r="B16" i="1"/>
  <c r="B18" i="1" s="1"/>
  <c r="F8" i="1"/>
  <c r="F7" i="1"/>
  <c r="B6" i="1"/>
  <c r="C20" i="1" s="1"/>
  <c r="D15" i="1" l="1"/>
  <c r="B15" i="1"/>
  <c r="C21" i="1"/>
  <c r="C15" i="1"/>
  <c r="C16" i="1" l="1"/>
  <c r="G15" i="1"/>
  <c r="C18" i="1"/>
  <c r="C17" i="1"/>
  <c r="D17" i="1" s="1"/>
  <c r="D16" i="1"/>
  <c r="G16" i="1" s="1"/>
  <c r="B20" i="1" l="1"/>
  <c r="G17" i="1"/>
  <c r="G6" i="1"/>
  <c r="D18" i="1"/>
  <c r="G18" i="1" s="1"/>
  <c r="B19" i="1"/>
  <c r="C19" i="1" l="1"/>
  <c r="D19" i="1" s="1"/>
  <c r="G19" i="1" s="1"/>
  <c r="B12" i="1" s="1"/>
  <c r="D21" i="1"/>
  <c r="F21" i="1" s="1"/>
  <c r="D20" i="1"/>
  <c r="F20" i="1" s="1"/>
  <c r="F22" i="1" l="1"/>
  <c r="F9" i="1" s="1"/>
  <c r="F10" i="1" s="1"/>
</calcChain>
</file>

<file path=xl/sharedStrings.xml><?xml version="1.0" encoding="utf-8"?>
<sst xmlns="http://schemas.openxmlformats.org/spreadsheetml/2006/main" count="22" uniqueCount="17">
  <si>
    <t>Calculadora de Prorrateo para Cambio de Plan Inmediato!</t>
  </si>
  <si>
    <t>Fecha actual</t>
  </si>
  <si>
    <t>Plan actual</t>
  </si>
  <si>
    <t>Nuevo plan</t>
  </si>
  <si>
    <t>Corte</t>
  </si>
  <si>
    <t>Periodo de facturación actual</t>
  </si>
  <si>
    <t>Nuevo CFM</t>
  </si>
  <si>
    <t>=</t>
  </si>
  <si>
    <t>+ Prorrateo</t>
  </si>
  <si>
    <t>+</t>
  </si>
  <si>
    <t>Siguiente factura (aprox.)</t>
  </si>
  <si>
    <t>Creado por: Michael Martínez – V2.0</t>
  </si>
  <si>
    <t>Ciclo actual</t>
  </si>
  <si>
    <t>Corte actual</t>
  </si>
  <si>
    <t>Próximo ciclo</t>
  </si>
  <si>
    <t>Siguiente FLP</t>
  </si>
  <si>
    <t>Prorrateo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</si>
</sst>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m/dd/yy"/>
    <numFmt numFmtId="165" formatCode="[$$-240A]#,##0;[Red]\([$$-240A]#,##0\)"/>
  </numFmts>
  <fonts count="7" x14ac:knownFonts="1">
    <font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name val="Arial"/>
    </font>
    <font>
      <b/>
      <i/>
      <sz val="11"/>
      <color rgb="FFFF3333"/>
      <name val="Calibri"/>
    </font>
    <font>
      <i/>
      <u/>
      <sz val="9"/>
      <color theme="1"/>
      <name val="Arial"/>
    </font>
    <font>
      <i/>
      <sz val="7"/>
      <color rgb="FF999999"/>
      <name val="Arial"/>
    </font>
  </fonts>
  <fills count="5">
    <fill>
      <patternFill patternType="none"/>
    </fill>
    <fill>
      <patternFill patternType="gray125"/>
    </fill>
    <fill>
      <patternFill patternType="solid">
        <fgColor rgb="FF99FF99"/>
        <bgColor rgb="FF99FF99"/>
      </patternFill>
    </fill>
    <fill>
      <patternFill patternType="solid">
        <fgColor rgb="FFFFFF99"/>
        <bgColor rgb="FFFFFF99"/>
      </patternFill>
    </fill>
    <fill>
      <patternFill patternType="solid">
        <fgColor rgb="FFCCFF66"/>
        <bgColor rgb="FFCCFF66"/>
      </patternFill>
    </fill>
  </fills>
  <borders count="5">
    <border>
      <left/>
      <right/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0" borderId="0" xfId="0" applyFont="1" applyAlignment="1"/>
    <xf numFmtId="0" fontId="1" fillId="0" borderId="4" xfId="0" applyFont="1" applyBorder="1" applyAlignment="1">
      <alignment horizontal="center"/>
    </xf>
    <xf numFmtId="0" fontId="1" fillId="0" borderId="0" xfId="0" applyFont="1" applyAlignment="1"/>
    <xf numFmtId="164" fontId="1" fillId="2" borderId="4" xfId="0" applyNumberFormat="1" applyFont="1" applyFill="1" applyBorder="1" applyAlignment="1">
      <alignment horizontal="center"/>
    </xf>
    <xf numFmtId="165" fontId="1" fillId="3" borderId="4" xfId="0" applyNumberFormat="1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164" fontId="1" fillId="0" borderId="0" xfId="0" applyNumberFormat="1" applyFont="1" applyAlignment="1"/>
    <xf numFmtId="165" fontId="1" fillId="4" borderId="4" xfId="0" applyNumberFormat="1" applyFont="1" applyFill="1" applyBorder="1" applyAlignment="1">
      <alignment horizontal="center"/>
    </xf>
    <xf numFmtId="1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" fillId="0" borderId="0" xfId="0" applyFont="1" applyAlignment="1">
      <alignment horizontal="right"/>
    </xf>
    <xf numFmtId="0" fontId="0" fillId="0" borderId="0" xfId="0" applyFont="1" applyAlignme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Cambio de Plan Inmediato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5:G6" headerRowCount="0">
  <tableColumns count="6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</tableColumns>
  <tableStyleInfo name="Cambio de Plan Inmediato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150" zoomScaleNormal="150" workbookViewId="0">
      <selection activeCell="F6" sqref="F6"/>
    </sheetView>
  </sheetViews>
  <sheetFormatPr baseColWidth="10" defaultColWidth="14.42578125" defaultRowHeight="15" customHeight="1" x14ac:dyDescent="0.2"/>
  <cols>
    <col min="1" max="1" width="5.140625" customWidth="1"/>
    <col min="2" max="4" width="15.28515625" customWidth="1"/>
    <col min="5" max="5" width="2.5703125" customWidth="1"/>
    <col min="6" max="6" width="17.85546875" customWidth="1"/>
    <col min="7" max="7" width="28" customWidth="1"/>
    <col min="8" max="26" width="8.7109375" customWidth="1"/>
  </cols>
  <sheetData>
    <row r="1" spans="1:26" ht="12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">
      <c r="A3" s="1"/>
      <c r="B3" s="16" t="s">
        <v>0</v>
      </c>
      <c r="C3" s="17"/>
      <c r="D3" s="17"/>
      <c r="E3" s="17"/>
      <c r="F3" s="17"/>
      <c r="G3" s="1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">
      <c r="A5" s="1"/>
      <c r="B5" s="2" t="s">
        <v>1</v>
      </c>
      <c r="C5" s="2" t="s">
        <v>2</v>
      </c>
      <c r="D5" s="2" t="s">
        <v>3</v>
      </c>
      <c r="E5" s="3"/>
      <c r="F5" s="2" t="s">
        <v>4</v>
      </c>
      <c r="G5" s="2" t="s">
        <v>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">
      <c r="A6" s="1"/>
      <c r="B6" s="4">
        <f ca="1">TODAY()</f>
        <v>44419</v>
      </c>
      <c r="C6" s="5">
        <v>49900</v>
      </c>
      <c r="D6" s="5">
        <v>79900</v>
      </c>
      <c r="E6" s="3"/>
      <c r="F6" s="6">
        <v>5</v>
      </c>
      <c r="G6" s="7" t="str">
        <f ca="1">"("&amp;TEXT(B16,"00")&amp;"/"&amp;TEXT(C16,"00")&amp;"/"&amp;D16&amp;" - "&amp;TEXT(B17,"00")&amp;"/"&amp;TEXT(C17,"00")&amp;"/"&amp;D17&amp;")"</f>
        <v>(06/08/2021 - 05/09/2021)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5">
      <c r="A7" s="1"/>
      <c r="B7" s="1"/>
      <c r="C7" s="1"/>
      <c r="D7" s="1"/>
      <c r="E7" s="1"/>
      <c r="F7" s="8" t="str">
        <f>IF(OR(F6&gt;27,F6&lt;1),"(Corte errado)",IF(OR(F6=12,F6=22),"(Corporativo)",""))</f>
        <v/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">
      <c r="A8" s="1"/>
      <c r="B8" s="1"/>
      <c r="C8" s="19" t="s">
        <v>6</v>
      </c>
      <c r="D8" s="20"/>
      <c r="E8" s="9" t="s">
        <v>7</v>
      </c>
      <c r="F8" s="10">
        <f>+D6</f>
        <v>79900</v>
      </c>
      <c r="G8" s="1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">
      <c r="A9" s="1"/>
      <c r="B9" s="1"/>
      <c r="C9" s="19" t="s">
        <v>8</v>
      </c>
      <c r="D9" s="20"/>
      <c r="E9" s="9" t="s">
        <v>9</v>
      </c>
      <c r="F9" s="10">
        <f ca="1">+F22</f>
        <v>25161.290322580644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">
      <c r="A10" s="1"/>
      <c r="B10" s="1"/>
      <c r="C10" s="19" t="s">
        <v>10</v>
      </c>
      <c r="D10" s="20"/>
      <c r="E10" s="9" t="s">
        <v>7</v>
      </c>
      <c r="F10" s="12">
        <f ca="1">+F8+F9</f>
        <v>105061.29032258064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2">
      <c r="A12" s="1"/>
      <c r="B12" s="21" t="str">
        <f ca="1">CONCATENATE("** Valores aproximados del Prorrateo en la siguiente factura, a pagar alrededor del ",TEXT(B19,"00")," de ",TEXT(G19,"MMMM")," del ",D19," **")</f>
        <v>** Valores aproximados del Prorrateo en la siguiente factura, a pagar alrededor del 21 de septiembre del 2021 **</v>
      </c>
      <c r="C12" s="20"/>
      <c r="D12" s="20"/>
      <c r="E12" s="20"/>
      <c r="F12" s="20"/>
      <c r="G12" s="20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2">
      <c r="A13" s="1"/>
      <c r="B13" s="22" t="s">
        <v>11</v>
      </c>
      <c r="C13" s="20"/>
      <c r="D13" s="20"/>
      <c r="E13" s="20"/>
      <c r="F13" s="20"/>
      <c r="G13" s="20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hidden="1" customHeight="1" x14ac:dyDescent="0.2">
      <c r="A15" s="1"/>
      <c r="B15" s="9">
        <f ca="1">DAY(B6)</f>
        <v>11</v>
      </c>
      <c r="C15" s="9">
        <f ca="1">MONTH(B6)</f>
        <v>8</v>
      </c>
      <c r="D15" s="9">
        <f ca="1">YEAR(B6)</f>
        <v>2021</v>
      </c>
      <c r="E15" s="9"/>
      <c r="F15" s="9" t="s">
        <v>1</v>
      </c>
      <c r="G15" s="13">
        <f t="shared" ref="G15:G19" ca="1" si="0">DATE(D15,C15,B15)</f>
        <v>44419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hidden="1" customHeight="1" x14ac:dyDescent="0.2">
      <c r="A16" s="1"/>
      <c r="B16" s="9">
        <f>F6+1</f>
        <v>6</v>
      </c>
      <c r="C16" s="9">
        <f ca="1">IF(F6&gt;=B15,IF(C15=1,12,C15-1),C15)</f>
        <v>8</v>
      </c>
      <c r="D16" s="9">
        <f ca="1">IF(AND(C16=1,C15=12),D15-1,IF(AND(C16=12,C15=1),D15-1,D15))</f>
        <v>2021</v>
      </c>
      <c r="E16" s="9"/>
      <c r="F16" s="9" t="s">
        <v>12</v>
      </c>
      <c r="G16" s="13">
        <f t="shared" ca="1" si="0"/>
        <v>44414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hidden="1" customHeight="1" x14ac:dyDescent="0.2">
      <c r="A17" s="1"/>
      <c r="B17" s="9">
        <f>F6</f>
        <v>5</v>
      </c>
      <c r="C17" s="9">
        <f ca="1">IF(C16+1=13,1,C16+1)</f>
        <v>9</v>
      </c>
      <c r="D17" s="9">
        <f ca="1">IF(C17=1,D16+1,D15)</f>
        <v>2021</v>
      </c>
      <c r="E17" s="9"/>
      <c r="F17" s="9" t="s">
        <v>13</v>
      </c>
      <c r="G17" s="13">
        <f t="shared" ca="1" si="0"/>
        <v>44444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hidden="1" customHeight="1" x14ac:dyDescent="0.2">
      <c r="A18" s="1"/>
      <c r="B18" s="9">
        <f>B16</f>
        <v>6</v>
      </c>
      <c r="C18" s="9">
        <f ca="1">IF(C16+1&gt;12,C16-11,C16+1)</f>
        <v>9</v>
      </c>
      <c r="D18" s="9">
        <f ca="1">IF(C18=1,D16+1,D16)</f>
        <v>2021</v>
      </c>
      <c r="E18" s="9"/>
      <c r="F18" s="9" t="s">
        <v>14</v>
      </c>
      <c r="G18" s="13">
        <f t="shared" ca="1" si="0"/>
        <v>44445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hidden="1" customHeight="1" x14ac:dyDescent="0.2">
      <c r="A19" s="1"/>
      <c r="B19" s="9">
        <f ca="1">IF(B17+16&gt;30,IF(C18=2,B17-12,B17-14),IF(AND(B17+16&gt;28,C18=2),B17-12,B17+16))</f>
        <v>21</v>
      </c>
      <c r="C19" s="9">
        <f ca="1">IF(B19&lt;16,IF(C18+1&gt;12,C18-11,C18+1),C18)</f>
        <v>9</v>
      </c>
      <c r="D19" s="9">
        <f ca="1">IF(AND(C19=1,C18=12),D18+1,D18)</f>
        <v>2021</v>
      </c>
      <c r="E19" s="9"/>
      <c r="F19" s="9" t="s">
        <v>15</v>
      </c>
      <c r="G19" s="13">
        <f t="shared" ca="1" si="0"/>
        <v>44460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hidden="1" customHeight="1" x14ac:dyDescent="0.2">
      <c r="A20" s="1"/>
      <c r="B20" s="13">
        <f ca="1">DATE(D17,C17,B17)</f>
        <v>44444</v>
      </c>
      <c r="C20" s="14">
        <f ca="1">B6</f>
        <v>44419</v>
      </c>
      <c r="D20" s="13">
        <f ca="1">B20</f>
        <v>44444</v>
      </c>
      <c r="E20" s="9" t="s">
        <v>7</v>
      </c>
      <c r="F20" s="15">
        <f ca="1">C6/VLOOKUP(C16,B24:C35,2,0)*(D20-C20+1)*-1</f>
        <v>-41851.61290322581</v>
      </c>
      <c r="G20" s="9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hidden="1" customHeight="1" x14ac:dyDescent="0.2">
      <c r="A21" s="1"/>
      <c r="B21" s="9"/>
      <c r="C21" s="14">
        <f ca="1">B6</f>
        <v>44419</v>
      </c>
      <c r="D21" s="13">
        <f ca="1">B20</f>
        <v>44444</v>
      </c>
      <c r="E21" s="9" t="s">
        <v>7</v>
      </c>
      <c r="F21" s="9">
        <f ca="1">D6/VLOOKUP(C16,B24:C35,2,0)*(D21-C21+1)</f>
        <v>67012.903225806454</v>
      </c>
      <c r="G21" s="9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hidden="1" customHeight="1" x14ac:dyDescent="0.2">
      <c r="A22" s="1"/>
      <c r="B22" s="9"/>
      <c r="C22" s="9"/>
      <c r="D22" s="9" t="s">
        <v>16</v>
      </c>
      <c r="E22" s="9" t="s">
        <v>7</v>
      </c>
      <c r="F22" s="15">
        <f ca="1">F21+F20</f>
        <v>25161.290322580644</v>
      </c>
      <c r="G22" s="9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hidden="1" customHeight="1" x14ac:dyDescent="0.2">
      <c r="A24" s="1"/>
      <c r="B24" s="1">
        <v>1</v>
      </c>
      <c r="C24" s="1">
        <v>31</v>
      </c>
      <c r="D24" s="1">
        <v>2</v>
      </c>
      <c r="E24" s="1"/>
      <c r="F24" s="1">
        <f t="shared" ref="F24:F45" si="1">D24-1</f>
        <v>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hidden="1" customHeight="1" x14ac:dyDescent="0.2">
      <c r="A25" s="1"/>
      <c r="B25" s="1">
        <v>2</v>
      </c>
      <c r="C25" s="1">
        <v>28</v>
      </c>
      <c r="D25" s="1">
        <v>4</v>
      </c>
      <c r="E25" s="1"/>
      <c r="F25" s="1">
        <f t="shared" si="1"/>
        <v>3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hidden="1" customHeight="1" x14ac:dyDescent="0.2">
      <c r="A26" s="1"/>
      <c r="B26" s="1">
        <v>3</v>
      </c>
      <c r="C26" s="1">
        <v>31</v>
      </c>
      <c r="D26" s="1">
        <v>8</v>
      </c>
      <c r="E26" s="1"/>
      <c r="F26" s="1">
        <f t="shared" si="1"/>
        <v>7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hidden="1" customHeight="1" x14ac:dyDescent="0.2">
      <c r="A27" s="1"/>
      <c r="B27" s="1">
        <v>4</v>
      </c>
      <c r="C27" s="1">
        <v>30</v>
      </c>
      <c r="D27" s="1">
        <v>11</v>
      </c>
      <c r="E27" s="1"/>
      <c r="F27" s="1">
        <f t="shared" si="1"/>
        <v>10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hidden="1" customHeight="1" x14ac:dyDescent="0.2">
      <c r="A28" s="1"/>
      <c r="B28" s="1">
        <v>5</v>
      </c>
      <c r="C28" s="1">
        <v>31</v>
      </c>
      <c r="D28" s="1">
        <v>14</v>
      </c>
      <c r="E28" s="1"/>
      <c r="F28" s="1">
        <f t="shared" si="1"/>
        <v>13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hidden="1" customHeight="1" x14ac:dyDescent="0.2">
      <c r="A29" s="1"/>
      <c r="B29" s="1">
        <v>6</v>
      </c>
      <c r="C29" s="1">
        <v>30</v>
      </c>
      <c r="D29" s="1">
        <v>17</v>
      </c>
      <c r="E29" s="1"/>
      <c r="F29" s="1">
        <f t="shared" si="1"/>
        <v>16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hidden="1" customHeight="1" x14ac:dyDescent="0.2">
      <c r="A30" s="1"/>
      <c r="B30" s="1">
        <v>7</v>
      </c>
      <c r="C30" s="1">
        <v>31</v>
      </c>
      <c r="D30" s="1">
        <v>18</v>
      </c>
      <c r="E30" s="1"/>
      <c r="F30" s="1">
        <f t="shared" si="1"/>
        <v>17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hidden="1" customHeight="1" x14ac:dyDescent="0.2">
      <c r="A31" s="1"/>
      <c r="B31" s="1">
        <v>8</v>
      </c>
      <c r="C31" s="1">
        <v>31</v>
      </c>
      <c r="D31" s="1">
        <v>20</v>
      </c>
      <c r="E31" s="1"/>
      <c r="F31" s="1">
        <f t="shared" si="1"/>
        <v>19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hidden="1" customHeight="1" x14ac:dyDescent="0.2">
      <c r="A32" s="1"/>
      <c r="B32" s="1">
        <v>9</v>
      </c>
      <c r="C32" s="1">
        <v>30</v>
      </c>
      <c r="D32" s="1">
        <v>22</v>
      </c>
      <c r="E32" s="1"/>
      <c r="F32" s="1">
        <f t="shared" si="1"/>
        <v>21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hidden="1" customHeight="1" x14ac:dyDescent="0.2">
      <c r="A33" s="1"/>
      <c r="B33" s="1">
        <v>10</v>
      </c>
      <c r="C33" s="1">
        <v>31</v>
      </c>
      <c r="D33" s="1">
        <v>24</v>
      </c>
      <c r="E33" s="1"/>
      <c r="F33" s="1">
        <f t="shared" si="1"/>
        <v>23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hidden="1" customHeight="1" x14ac:dyDescent="0.2">
      <c r="A34" s="1"/>
      <c r="B34" s="1">
        <v>11</v>
      </c>
      <c r="C34" s="1">
        <v>30</v>
      </c>
      <c r="D34" s="1">
        <v>26</v>
      </c>
      <c r="E34" s="1"/>
      <c r="F34" s="1">
        <f t="shared" si="1"/>
        <v>25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hidden="1" customHeight="1" x14ac:dyDescent="0.2">
      <c r="A35" s="1"/>
      <c r="B35" s="1">
        <v>12</v>
      </c>
      <c r="C35" s="1">
        <v>31</v>
      </c>
      <c r="D35" s="1">
        <v>3</v>
      </c>
      <c r="E35" s="1"/>
      <c r="F35" s="1">
        <f t="shared" si="1"/>
        <v>2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hidden="1" customHeight="1" x14ac:dyDescent="0.2">
      <c r="A36" s="1"/>
      <c r="B36" s="1"/>
      <c r="C36" s="1"/>
      <c r="D36" s="1">
        <v>5</v>
      </c>
      <c r="E36" s="1"/>
      <c r="F36" s="1">
        <f t="shared" si="1"/>
        <v>4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hidden="1" customHeight="1" x14ac:dyDescent="0.2">
      <c r="A37" s="1"/>
      <c r="B37" s="1"/>
      <c r="C37" s="1"/>
      <c r="D37" s="1">
        <v>7</v>
      </c>
      <c r="E37" s="1"/>
      <c r="F37" s="1">
        <f t="shared" si="1"/>
        <v>6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hidden="1" customHeight="1" x14ac:dyDescent="0.2">
      <c r="A38" s="1"/>
      <c r="B38" s="1"/>
      <c r="C38" s="1"/>
      <c r="D38" s="1">
        <v>10</v>
      </c>
      <c r="E38" s="1"/>
      <c r="F38" s="1">
        <f t="shared" si="1"/>
        <v>9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hidden="1" customHeight="1" x14ac:dyDescent="0.2">
      <c r="A39" s="1"/>
      <c r="B39" s="1"/>
      <c r="C39" s="1"/>
      <c r="D39" s="1">
        <v>15</v>
      </c>
      <c r="E39" s="1"/>
      <c r="F39" s="1">
        <f t="shared" si="1"/>
        <v>14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hidden="1" customHeight="1" x14ac:dyDescent="0.2">
      <c r="A40" s="1"/>
      <c r="B40" s="1"/>
      <c r="C40" s="1"/>
      <c r="D40" s="1">
        <v>19</v>
      </c>
      <c r="E40" s="1"/>
      <c r="F40" s="1">
        <f t="shared" si="1"/>
        <v>18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hidden="1" customHeight="1" x14ac:dyDescent="0.2">
      <c r="A41" s="1"/>
      <c r="B41" s="1"/>
      <c r="C41" s="1"/>
      <c r="D41" s="1">
        <v>25</v>
      </c>
      <c r="E41" s="1"/>
      <c r="F41" s="1">
        <f t="shared" si="1"/>
        <v>24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hidden="1" customHeight="1" x14ac:dyDescent="0.2">
      <c r="A42" s="1"/>
      <c r="B42" s="1"/>
      <c r="C42" s="1"/>
      <c r="D42" s="1">
        <v>28</v>
      </c>
      <c r="E42" s="1"/>
      <c r="F42" s="1">
        <f t="shared" si="1"/>
        <v>27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hidden="1" customHeight="1" x14ac:dyDescent="0.2">
      <c r="A43" s="1"/>
      <c r="B43" s="1"/>
      <c r="C43" s="1"/>
      <c r="D43" s="1">
        <v>12</v>
      </c>
      <c r="E43" s="1"/>
      <c r="F43" s="1">
        <f t="shared" si="1"/>
        <v>11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hidden="1" customHeight="1" x14ac:dyDescent="0.2">
      <c r="A44" s="1"/>
      <c r="B44" s="1"/>
      <c r="C44" s="1"/>
      <c r="D44" s="1">
        <v>16</v>
      </c>
      <c r="E44" s="1"/>
      <c r="F44" s="1">
        <f t="shared" si="1"/>
        <v>15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hidden="1" customHeight="1" x14ac:dyDescent="0.2">
      <c r="A45" s="1"/>
      <c r="B45" s="1"/>
      <c r="C45" s="1"/>
      <c r="D45" s="1">
        <v>27</v>
      </c>
      <c r="E45" s="1"/>
      <c r="F45" s="1">
        <f t="shared" si="1"/>
        <v>26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B13:G13"/>
    <mergeCell ref="B3:G3"/>
    <mergeCell ref="C8:D8"/>
    <mergeCell ref="C9:D9"/>
    <mergeCell ref="C10:D10"/>
    <mergeCell ref="B12:G12"/>
  </mergeCells>
  <dataValidations count="1">
    <dataValidation type="list" allowBlank="1" sqref="F6" xr:uid="{00000000-0002-0000-0000-000000000000}">
      <formula1>Cortes</formula1>
    </dataValidation>
  </dataValidations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Cambio de Plan Inmediato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 Bcr</cp:lastModifiedBy>
  <dcterms:modified xsi:type="dcterms:W3CDTF">2021-08-11T15:17:54Z</dcterms:modified>
</cp:coreProperties>
</file>