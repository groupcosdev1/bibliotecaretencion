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agbecerras_unadvirtual_edu_co/Documents/Documents/Documentos recuperados/COS/Material Grupos Nuevos/Nuevos Materiales/"/>
    </mc:Choice>
  </mc:AlternateContent>
  <xr:revisionPtr revIDLastSave="13" documentId="11_663A1C1C08705A60F8E2E4FFC49A3F361539BEE0" xr6:coauthVersionLast="47" xr6:coauthVersionMax="47" xr10:uidLastSave="{7E9E96CF-D10C-49A2-8BC4-8BF7366431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6" i="1"/>
  <c r="G6" i="1" s="1"/>
  <c r="D9" i="1" l="1"/>
  <c r="B9" i="1"/>
  <c r="G9" i="1"/>
  <c r="C12" i="1" l="1"/>
  <c r="F12" i="1"/>
  <c r="G12" i="1" l="1"/>
  <c r="F13" i="1"/>
</calcChain>
</file>

<file path=xl/sharedStrings.xml><?xml version="1.0" encoding="utf-8"?>
<sst xmlns="http://schemas.openxmlformats.org/spreadsheetml/2006/main" count="45" uniqueCount="16">
  <si>
    <t>Calculadora de Prorrateo para Cambio de Ciclo!</t>
  </si>
  <si>
    <t>Zona Facturación</t>
  </si>
  <si>
    <t>Ciclo Actual</t>
  </si>
  <si>
    <t>Precio Plan</t>
  </si>
  <si>
    <t>¿Qué día puede pagar el usuario?</t>
  </si>
  <si>
    <t>Oriente</t>
  </si>
  <si>
    <t>Nuevo Ciclo Recomendado</t>
  </si>
  <si>
    <t>Nueva Fecha Límite de Pago</t>
  </si>
  <si>
    <t>Valor CFM</t>
  </si>
  <si>
    <t>=</t>
  </si>
  <si>
    <t>+</t>
  </si>
  <si>
    <t>Valor factura (aprox.)</t>
  </si>
  <si>
    <t>* Valores aproximados del Prorrateo y el Valor Total de la Factura</t>
  </si>
  <si>
    <t>Occidente</t>
  </si>
  <si>
    <t>Costa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</si>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</sst>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#,##0;[Red]\([$$-240A]#,##0\)"/>
  </numFmts>
  <fonts count="9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FFFFFF"/>
      <name val="Arial"/>
    </font>
    <font>
      <sz val="10"/>
      <color rgb="FFFF8080"/>
      <name val="Arial"/>
    </font>
    <font>
      <i/>
      <u/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99FF99"/>
        <bgColor rgb="FF99FF99"/>
      </patternFill>
    </fill>
    <fill>
      <patternFill patternType="solid">
        <fgColor rgb="FFCCFF66"/>
        <bgColor rgb="FFCCFF66"/>
      </patternFill>
    </fill>
  </fills>
  <borders count="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4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right"/>
    </xf>
    <xf numFmtId="0" fontId="4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50" zoomScaleNormal="150" workbookViewId="0">
      <selection activeCell="C6" sqref="C6"/>
    </sheetView>
  </sheetViews>
  <sheetFormatPr baseColWidth="10" defaultColWidth="14.42578125" defaultRowHeight="15" customHeight="1" x14ac:dyDescent="0.2"/>
  <cols>
    <col min="1" max="1" width="11" customWidth="1"/>
    <col min="2" max="4" width="15.28515625" customWidth="1"/>
    <col min="5" max="5" width="2.5703125" customWidth="1"/>
    <col min="6" max="7" width="17.85546875" customWidth="1"/>
    <col min="8" max="26" width="8.7109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8" t="s">
        <v>0</v>
      </c>
      <c r="C2" s="19"/>
      <c r="D2" s="19"/>
      <c r="E2" s="19"/>
      <c r="F2" s="19"/>
      <c r="G2" s="2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2" t="s">
        <v>1</v>
      </c>
      <c r="C4" s="2" t="s">
        <v>2</v>
      </c>
      <c r="D4" s="2" t="s">
        <v>3</v>
      </c>
      <c r="E4" s="1"/>
      <c r="F4" s="21" t="s">
        <v>4</v>
      </c>
      <c r="G4" s="2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3" t="s">
        <v>5</v>
      </c>
      <c r="C5" s="4">
        <v>2</v>
      </c>
      <c r="D5" s="3">
        <v>39900</v>
      </c>
      <c r="E5" s="1"/>
      <c r="F5" s="22">
        <v>1</v>
      </c>
      <c r="G5" s="2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5"/>
      <c r="C6" s="1"/>
      <c r="D6" s="1"/>
      <c r="E6" s="1"/>
      <c r="F6" s="6" t="str">
        <f>VLOOKUP(C5,E38:F59,2,0)</f>
        <v>Oriente</v>
      </c>
      <c r="G6" s="7">
        <f>IF(F6="Oriente",VLOOKUP(F5,Hoja2!B2:C33,2,0),IF(F6="Occidente",VLOOKUP(F5,Hoja2!E2:F33,2,0),IF(F6="Costa",VLOOKUP(F5,Hoja2!H2:I33,2,0))))</f>
        <v>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5"/>
      <c r="C7" s="1"/>
      <c r="D7" s="1"/>
      <c r="E7" s="1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21" t="s">
        <v>6</v>
      </c>
      <c r="C8" s="20"/>
      <c r="D8" s="21" t="s">
        <v>7</v>
      </c>
      <c r="E8" s="19"/>
      <c r="F8" s="20"/>
      <c r="G8" s="1"/>
      <c r="H8" s="1"/>
      <c r="I8" s="1"/>
      <c r="J8" s="1"/>
      <c r="K8" s="8"/>
      <c r="L8" s="1"/>
      <c r="M8" s="1"/>
      <c r="N8" s="1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23">
        <f>IF(C5=G6,CONCATENATE("Conservar Ciclo ",G6),G6)</f>
        <v>18</v>
      </c>
      <c r="C9" s="20"/>
      <c r="D9" s="23" t="str">
        <f>CONCATENATE("Del ",IF(G6+13&gt;30,G6+13-30,G6+13)," al ",IF(G6+15&gt;30,G6+15-30,G6+15)," de cada mes")</f>
        <v>Del 1 al 3 de cada mes</v>
      </c>
      <c r="E9" s="19"/>
      <c r="F9" s="20"/>
      <c r="G9" s="7">
        <f>+G6-C5</f>
        <v>16</v>
      </c>
      <c r="H9" s="1"/>
      <c r="I9" s="1"/>
      <c r="J9" s="1"/>
      <c r="K9" s="8"/>
      <c r="L9" s="1"/>
      <c r="M9" s="8"/>
      <c r="N9" s="1"/>
      <c r="O9" s="8"/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8"/>
      <c r="L10" s="1"/>
      <c r="M10" s="8"/>
      <c r="N10" s="1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5" t="s">
        <v>8</v>
      </c>
      <c r="D11" s="16"/>
      <c r="E11" s="5" t="s">
        <v>9</v>
      </c>
      <c r="F11" s="9">
        <f>+D5</f>
        <v>39900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5" t="str">
        <f>CONCATENATE("Prorrateo (",G9," días)")</f>
        <v>Prorrateo (16 días)</v>
      </c>
      <c r="D12" s="16"/>
      <c r="E12" s="5" t="s">
        <v>10</v>
      </c>
      <c r="F12" s="9">
        <f>+D5/30*G9</f>
        <v>21280</v>
      </c>
      <c r="G12" s="10" t="str">
        <f>IF(F12&lt;0,"(Saldo a Favor!)","")</f>
        <v/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"/>
      <c r="C13" s="15" t="s">
        <v>11</v>
      </c>
      <c r="D13" s="16"/>
      <c r="E13" s="5" t="s">
        <v>9</v>
      </c>
      <c r="F13" s="11">
        <f>+F11+F12</f>
        <v>61180</v>
      </c>
      <c r="G13" s="1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"/>
      <c r="C14" s="1"/>
      <c r="D14" s="1"/>
      <c r="E14" s="1"/>
      <c r="F14" s="1"/>
      <c r="G14" s="1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7" t="s">
        <v>12</v>
      </c>
      <c r="C15" s="16"/>
      <c r="D15" s="16"/>
      <c r="E15" s="16"/>
      <c r="F15" s="16"/>
      <c r="G15" s="1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8"/>
      <c r="U20" s="8"/>
      <c r="V20" s="1"/>
      <c r="W20" s="1"/>
      <c r="X20" s="8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8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8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2"/>
      <c r="U23" s="12"/>
      <c r="V23" s="12"/>
      <c r="W23" s="12"/>
      <c r="X23" s="13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4">
        <v>1</v>
      </c>
      <c r="C38" s="14">
        <v>31</v>
      </c>
      <c r="D38" s="6"/>
      <c r="E38" s="14">
        <v>2</v>
      </c>
      <c r="F38" s="14" t="s">
        <v>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4">
        <v>2</v>
      </c>
      <c r="C39" s="14">
        <v>28</v>
      </c>
      <c r="D39" s="6"/>
      <c r="E39" s="14">
        <v>4</v>
      </c>
      <c r="F39" s="14" t="s">
        <v>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4">
        <v>3</v>
      </c>
      <c r="C40" s="14">
        <v>31</v>
      </c>
      <c r="D40" s="6"/>
      <c r="E40" s="14">
        <v>8</v>
      </c>
      <c r="F40" s="14" t="s">
        <v>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4">
        <v>4</v>
      </c>
      <c r="C41" s="14">
        <v>30</v>
      </c>
      <c r="D41" s="6"/>
      <c r="E41" s="14">
        <v>11</v>
      </c>
      <c r="F41" s="14" t="s">
        <v>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4">
        <v>5</v>
      </c>
      <c r="C42" s="14">
        <v>31</v>
      </c>
      <c r="D42" s="6"/>
      <c r="E42" s="14">
        <v>14</v>
      </c>
      <c r="F42" s="14" t="s">
        <v>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4">
        <v>6</v>
      </c>
      <c r="C43" s="14">
        <v>30</v>
      </c>
      <c r="D43" s="6"/>
      <c r="E43" s="14">
        <v>17</v>
      </c>
      <c r="F43" s="14" t="s">
        <v>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4">
        <v>7</v>
      </c>
      <c r="C44" s="14">
        <v>31</v>
      </c>
      <c r="D44" s="6"/>
      <c r="E44" s="14">
        <v>18</v>
      </c>
      <c r="F44" s="14" t="s">
        <v>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4">
        <v>8</v>
      </c>
      <c r="C45" s="14">
        <v>31</v>
      </c>
      <c r="D45" s="14"/>
      <c r="E45" s="14">
        <v>20</v>
      </c>
      <c r="F45" s="14" t="s">
        <v>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4">
        <v>9</v>
      </c>
      <c r="C46" s="14">
        <v>30</v>
      </c>
      <c r="D46" s="14"/>
      <c r="E46" s="14">
        <v>22</v>
      </c>
      <c r="F46" s="14" t="s">
        <v>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4">
        <v>10</v>
      </c>
      <c r="C47" s="14">
        <v>31</v>
      </c>
      <c r="D47" s="14"/>
      <c r="E47" s="14">
        <v>24</v>
      </c>
      <c r="F47" s="14" t="s">
        <v>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4">
        <v>11</v>
      </c>
      <c r="C48" s="14">
        <v>30</v>
      </c>
      <c r="D48" s="14"/>
      <c r="E48" s="14">
        <v>26</v>
      </c>
      <c r="F48" s="14" t="s">
        <v>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4">
        <v>12</v>
      </c>
      <c r="C49" s="14">
        <v>31</v>
      </c>
      <c r="D49" s="14"/>
      <c r="E49" s="14">
        <v>3</v>
      </c>
      <c r="F49" s="14" t="s">
        <v>13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4"/>
      <c r="C50" s="14"/>
      <c r="D50" s="14"/>
      <c r="E50" s="14">
        <v>5</v>
      </c>
      <c r="F50" s="14" t="s">
        <v>13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4"/>
      <c r="C51" s="14" t="s">
        <v>5</v>
      </c>
      <c r="D51" s="14"/>
      <c r="E51" s="14">
        <v>7</v>
      </c>
      <c r="F51" s="14" t="s">
        <v>13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4"/>
      <c r="C52" s="14" t="s">
        <v>13</v>
      </c>
      <c r="D52" s="14"/>
      <c r="E52" s="14">
        <v>10</v>
      </c>
      <c r="F52" s="14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4"/>
      <c r="C53" s="14" t="s">
        <v>14</v>
      </c>
      <c r="D53" s="14"/>
      <c r="E53" s="14">
        <v>15</v>
      </c>
      <c r="F53" s="14" t="s">
        <v>13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4"/>
      <c r="C54" s="14"/>
      <c r="D54" s="14"/>
      <c r="E54" s="14">
        <v>19</v>
      </c>
      <c r="F54" s="14" t="s">
        <v>13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4"/>
      <c r="C55" s="14"/>
      <c r="D55" s="14"/>
      <c r="E55" s="14">
        <v>25</v>
      </c>
      <c r="F55" s="14" t="s">
        <v>13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4"/>
      <c r="C56" s="14"/>
      <c r="D56" s="14"/>
      <c r="E56" s="14">
        <v>28</v>
      </c>
      <c r="F56" s="14" t="s">
        <v>13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4"/>
      <c r="C57" s="14"/>
      <c r="D57" s="14"/>
      <c r="E57" s="14">
        <v>12</v>
      </c>
      <c r="F57" s="14" t="s">
        <v>14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4"/>
      <c r="C58" s="14"/>
      <c r="D58" s="14"/>
      <c r="E58" s="14">
        <v>16</v>
      </c>
      <c r="F58" s="14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4"/>
      <c r="C59" s="14"/>
      <c r="D59" s="14"/>
      <c r="E59" s="14">
        <v>27</v>
      </c>
      <c r="F59" s="14" t="s">
        <v>14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1:D11"/>
    <mergeCell ref="C12:D12"/>
    <mergeCell ref="C13:D13"/>
    <mergeCell ref="B15:F15"/>
    <mergeCell ref="B2:G2"/>
    <mergeCell ref="F4:G4"/>
    <mergeCell ref="F5:G5"/>
    <mergeCell ref="B8:C8"/>
    <mergeCell ref="D8:F8"/>
    <mergeCell ref="B9:C9"/>
    <mergeCell ref="D9:F9"/>
  </mergeCells>
  <dataValidations count="1">
    <dataValidation type="list" allowBlank="1" sqref="B5" xr:uid="{00000000-0002-0000-0000-000000000000}">
      <formula1>$C$51:$C$53</formula1>
    </dataValidation>
  </dataValidation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"/>
  <cols>
    <col min="1" max="1" width="11.5703125" customWidth="1"/>
    <col min="2" max="2" width="3.42578125" customWidth="1"/>
    <col min="3" max="4" width="11.5703125" customWidth="1"/>
    <col min="5" max="5" width="3.42578125" customWidth="1"/>
    <col min="6" max="7" width="11.5703125" customWidth="1"/>
    <col min="8" max="8" width="3.42578125" customWidth="1"/>
    <col min="9" max="9" width="11.5703125" customWidth="1"/>
    <col min="10" max="26" width="8.7109375" customWidth="1"/>
  </cols>
  <sheetData>
    <row r="1" spans="1:26" ht="12.7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">
      <c r="A2" s="14"/>
      <c r="B2" s="14" t="s">
        <v>5</v>
      </c>
      <c r="C2" s="14" t="s">
        <v>15</v>
      </c>
      <c r="D2" s="14"/>
      <c r="E2" s="14" t="s">
        <v>13</v>
      </c>
      <c r="F2" s="14" t="s">
        <v>15</v>
      </c>
      <c r="G2" s="14"/>
      <c r="H2" s="14" t="s">
        <v>14</v>
      </c>
      <c r="I2" s="14" t="s">
        <v>15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">
      <c r="A3" s="14"/>
      <c r="B3" s="14">
        <v>1</v>
      </c>
      <c r="C3" s="14">
        <v>18</v>
      </c>
      <c r="D3" s="14"/>
      <c r="E3" s="14">
        <v>1</v>
      </c>
      <c r="F3" s="14">
        <v>19</v>
      </c>
      <c r="G3" s="14"/>
      <c r="H3" s="14">
        <v>1</v>
      </c>
      <c r="I3" s="14">
        <v>27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2">
      <c r="A4" s="14"/>
      <c r="B4" s="14">
        <v>2</v>
      </c>
      <c r="C4" s="14">
        <v>18</v>
      </c>
      <c r="D4" s="14"/>
      <c r="E4" s="14">
        <v>2</v>
      </c>
      <c r="F4" s="14">
        <v>19</v>
      </c>
      <c r="G4" s="14"/>
      <c r="H4" s="14">
        <v>2</v>
      </c>
      <c r="I4" s="14">
        <v>27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2">
      <c r="A5" s="14"/>
      <c r="B5" s="14">
        <v>3</v>
      </c>
      <c r="C5" s="14">
        <v>20</v>
      </c>
      <c r="D5" s="14"/>
      <c r="E5" s="14">
        <v>3</v>
      </c>
      <c r="F5" s="14">
        <v>19</v>
      </c>
      <c r="G5" s="14"/>
      <c r="H5" s="14">
        <v>3</v>
      </c>
      <c r="I5" s="14">
        <v>27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2">
      <c r="A6" s="14"/>
      <c r="B6" s="14">
        <v>4</v>
      </c>
      <c r="C6" s="14">
        <v>20</v>
      </c>
      <c r="D6" s="14"/>
      <c r="E6" s="14">
        <v>4</v>
      </c>
      <c r="F6" s="14">
        <v>25</v>
      </c>
      <c r="G6" s="14"/>
      <c r="H6" s="14">
        <v>4</v>
      </c>
      <c r="I6" s="14">
        <v>27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 x14ac:dyDescent="0.2">
      <c r="A7" s="14"/>
      <c r="B7" s="14">
        <v>5</v>
      </c>
      <c r="C7" s="14">
        <v>22</v>
      </c>
      <c r="D7" s="14"/>
      <c r="E7" s="14">
        <v>5</v>
      </c>
      <c r="F7" s="14">
        <v>25</v>
      </c>
      <c r="G7" s="14"/>
      <c r="H7" s="14">
        <v>5</v>
      </c>
      <c r="I7" s="14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2">
      <c r="A8" s="14"/>
      <c r="B8" s="14">
        <v>6</v>
      </c>
      <c r="C8" s="14">
        <v>22</v>
      </c>
      <c r="D8" s="14"/>
      <c r="E8" s="14">
        <v>6</v>
      </c>
      <c r="F8" s="14">
        <v>25</v>
      </c>
      <c r="G8" s="14"/>
      <c r="H8" s="14">
        <v>6</v>
      </c>
      <c r="I8" s="14">
        <v>27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2">
      <c r="A9" s="14"/>
      <c r="B9" s="14">
        <v>7</v>
      </c>
      <c r="C9" s="14">
        <v>24</v>
      </c>
      <c r="D9" s="14"/>
      <c r="E9" s="14">
        <v>7</v>
      </c>
      <c r="F9" s="14">
        <v>25</v>
      </c>
      <c r="G9" s="14"/>
      <c r="H9" s="14">
        <v>7</v>
      </c>
      <c r="I9" s="14">
        <v>27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2">
      <c r="A10" s="14"/>
      <c r="B10" s="14">
        <v>8</v>
      </c>
      <c r="C10" s="14">
        <v>24</v>
      </c>
      <c r="D10" s="14"/>
      <c r="E10" s="14">
        <v>8</v>
      </c>
      <c r="F10" s="14">
        <v>25</v>
      </c>
      <c r="G10" s="14"/>
      <c r="H10" s="14">
        <v>8</v>
      </c>
      <c r="I10" s="14">
        <v>27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2">
      <c r="A11" s="14"/>
      <c r="B11" s="14">
        <v>9</v>
      </c>
      <c r="C11" s="14">
        <v>26</v>
      </c>
      <c r="D11" s="14"/>
      <c r="E11" s="14">
        <v>9</v>
      </c>
      <c r="F11" s="14">
        <v>25</v>
      </c>
      <c r="G11" s="14"/>
      <c r="H11" s="14">
        <v>9</v>
      </c>
      <c r="I11" s="14">
        <v>27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4"/>
      <c r="B12" s="14">
        <v>10</v>
      </c>
      <c r="C12" s="14">
        <v>26</v>
      </c>
      <c r="D12" s="14"/>
      <c r="E12" s="14">
        <v>10</v>
      </c>
      <c r="F12" s="14">
        <v>28</v>
      </c>
      <c r="G12" s="14"/>
      <c r="H12" s="14">
        <v>10</v>
      </c>
      <c r="I12" s="14">
        <v>27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">
      <c r="A13" s="14"/>
      <c r="B13" s="14">
        <v>11</v>
      </c>
      <c r="C13" s="14">
        <v>2</v>
      </c>
      <c r="D13" s="14"/>
      <c r="E13" s="14">
        <v>11</v>
      </c>
      <c r="F13" s="14">
        <v>28</v>
      </c>
      <c r="G13" s="14"/>
      <c r="H13" s="14">
        <v>11</v>
      </c>
      <c r="I13" s="14">
        <v>27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2">
      <c r="A14" s="14"/>
      <c r="B14" s="14">
        <v>12</v>
      </c>
      <c r="C14" s="14">
        <v>2</v>
      </c>
      <c r="D14" s="14"/>
      <c r="E14" s="14">
        <v>12</v>
      </c>
      <c r="F14" s="14">
        <v>28</v>
      </c>
      <c r="G14" s="14"/>
      <c r="H14" s="14">
        <v>12</v>
      </c>
      <c r="I14" s="14">
        <v>12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2">
      <c r="A15" s="14"/>
      <c r="B15" s="14">
        <v>13</v>
      </c>
      <c r="C15" s="14">
        <v>2</v>
      </c>
      <c r="D15" s="14"/>
      <c r="E15" s="14">
        <v>13</v>
      </c>
      <c r="F15" s="14">
        <v>3</v>
      </c>
      <c r="G15" s="14"/>
      <c r="H15" s="14">
        <v>13</v>
      </c>
      <c r="I15" s="14">
        <v>12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2">
      <c r="A16" s="14"/>
      <c r="B16" s="14">
        <v>14</v>
      </c>
      <c r="C16" s="14">
        <v>2</v>
      </c>
      <c r="D16" s="14"/>
      <c r="E16" s="14">
        <v>14</v>
      </c>
      <c r="F16" s="14">
        <v>3</v>
      </c>
      <c r="G16" s="14"/>
      <c r="H16" s="14">
        <v>14</v>
      </c>
      <c r="I16" s="14">
        <v>12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2">
      <c r="A17" s="14"/>
      <c r="B17" s="14">
        <v>15</v>
      </c>
      <c r="C17" s="14">
        <v>2</v>
      </c>
      <c r="D17" s="14"/>
      <c r="E17" s="14">
        <v>15</v>
      </c>
      <c r="F17" s="14">
        <v>3</v>
      </c>
      <c r="G17" s="14"/>
      <c r="H17" s="14">
        <v>15</v>
      </c>
      <c r="I17" s="14">
        <v>12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2">
      <c r="A18" s="14"/>
      <c r="B18" s="14">
        <v>16</v>
      </c>
      <c r="C18" s="14">
        <v>2</v>
      </c>
      <c r="D18" s="14"/>
      <c r="E18" s="14">
        <v>16</v>
      </c>
      <c r="F18" s="14">
        <v>3</v>
      </c>
      <c r="G18" s="14"/>
      <c r="H18" s="14">
        <v>16</v>
      </c>
      <c r="I18" s="14">
        <v>12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2">
      <c r="A19" s="14"/>
      <c r="B19" s="14">
        <v>17</v>
      </c>
      <c r="C19" s="14">
        <v>4</v>
      </c>
      <c r="D19" s="14"/>
      <c r="E19" s="14">
        <v>17</v>
      </c>
      <c r="F19" s="14">
        <v>3</v>
      </c>
      <c r="G19" s="14"/>
      <c r="H19" s="14">
        <v>17</v>
      </c>
      <c r="I19" s="14">
        <v>12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2">
      <c r="A20" s="14"/>
      <c r="B20" s="14">
        <v>18</v>
      </c>
      <c r="C20" s="14">
        <v>4</v>
      </c>
      <c r="D20" s="14"/>
      <c r="E20" s="14">
        <v>18</v>
      </c>
      <c r="F20" s="14">
        <v>5</v>
      </c>
      <c r="G20" s="14"/>
      <c r="H20" s="14">
        <v>18</v>
      </c>
      <c r="I20" s="14">
        <v>12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2">
      <c r="A21" s="14"/>
      <c r="B21" s="14">
        <v>19</v>
      </c>
      <c r="C21" s="14">
        <v>8</v>
      </c>
      <c r="D21" s="14"/>
      <c r="E21" s="14">
        <v>19</v>
      </c>
      <c r="F21" s="14">
        <v>5</v>
      </c>
      <c r="G21" s="14"/>
      <c r="H21" s="14">
        <v>19</v>
      </c>
      <c r="I21" s="14">
        <v>12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">
      <c r="A22" s="14"/>
      <c r="B22" s="14">
        <v>20</v>
      </c>
      <c r="C22" s="14">
        <v>8</v>
      </c>
      <c r="D22" s="14"/>
      <c r="E22" s="14">
        <v>20</v>
      </c>
      <c r="F22" s="14">
        <v>7</v>
      </c>
      <c r="G22" s="14"/>
      <c r="H22" s="14">
        <v>20</v>
      </c>
      <c r="I22" s="14">
        <v>12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2">
      <c r="A23" s="14"/>
      <c r="B23" s="14">
        <v>21</v>
      </c>
      <c r="C23" s="14">
        <v>8</v>
      </c>
      <c r="D23" s="14"/>
      <c r="E23" s="14">
        <v>21</v>
      </c>
      <c r="F23" s="14">
        <v>7</v>
      </c>
      <c r="G23" s="14"/>
      <c r="H23" s="14">
        <v>21</v>
      </c>
      <c r="I23" s="14">
        <v>12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2">
      <c r="A24" s="14"/>
      <c r="B24" s="14">
        <v>22</v>
      </c>
      <c r="C24" s="14">
        <v>8</v>
      </c>
      <c r="D24" s="14"/>
      <c r="E24" s="14">
        <v>22</v>
      </c>
      <c r="F24" s="14">
        <v>10</v>
      </c>
      <c r="G24" s="14"/>
      <c r="H24" s="14">
        <v>22</v>
      </c>
      <c r="I24" s="14">
        <v>12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2">
      <c r="A25" s="14"/>
      <c r="B25" s="14">
        <v>23</v>
      </c>
      <c r="C25" s="14">
        <v>11</v>
      </c>
      <c r="D25" s="14"/>
      <c r="E25" s="14">
        <v>23</v>
      </c>
      <c r="F25" s="14">
        <v>10</v>
      </c>
      <c r="G25" s="14"/>
      <c r="H25" s="14">
        <v>23</v>
      </c>
      <c r="I25" s="14">
        <v>12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2">
      <c r="A26" s="14"/>
      <c r="B26" s="14">
        <v>24</v>
      </c>
      <c r="C26" s="14">
        <v>11</v>
      </c>
      <c r="D26" s="14"/>
      <c r="E26" s="14">
        <v>24</v>
      </c>
      <c r="F26" s="14">
        <v>10</v>
      </c>
      <c r="G26" s="14"/>
      <c r="H26" s="14">
        <v>24</v>
      </c>
      <c r="I26" s="14">
        <v>12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2">
      <c r="A27" s="14"/>
      <c r="B27" s="14">
        <v>25</v>
      </c>
      <c r="C27" s="14">
        <v>11</v>
      </c>
      <c r="D27" s="14"/>
      <c r="E27" s="14">
        <v>25</v>
      </c>
      <c r="F27" s="14">
        <v>15</v>
      </c>
      <c r="G27" s="14"/>
      <c r="H27" s="14">
        <v>25</v>
      </c>
      <c r="I27" s="14">
        <v>12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2">
      <c r="A28" s="14"/>
      <c r="B28" s="14">
        <v>26</v>
      </c>
      <c r="C28" s="14">
        <v>14</v>
      </c>
      <c r="D28" s="14"/>
      <c r="E28" s="14">
        <v>26</v>
      </c>
      <c r="F28" s="14">
        <v>15</v>
      </c>
      <c r="G28" s="14"/>
      <c r="H28" s="14">
        <v>26</v>
      </c>
      <c r="I28" s="14">
        <v>12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2">
      <c r="A29" s="14"/>
      <c r="B29" s="14">
        <v>27</v>
      </c>
      <c r="C29" s="14">
        <v>14</v>
      </c>
      <c r="D29" s="14"/>
      <c r="E29" s="14">
        <v>27</v>
      </c>
      <c r="F29" s="14">
        <v>15</v>
      </c>
      <c r="G29" s="14"/>
      <c r="H29" s="14">
        <v>27</v>
      </c>
      <c r="I29" s="14">
        <v>16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2">
      <c r="A30" s="14"/>
      <c r="B30" s="14">
        <v>28</v>
      </c>
      <c r="C30" s="14">
        <v>14</v>
      </c>
      <c r="D30" s="14"/>
      <c r="E30" s="14">
        <v>28</v>
      </c>
      <c r="F30" s="14">
        <v>15</v>
      </c>
      <c r="G30" s="14"/>
      <c r="H30" s="14">
        <v>28</v>
      </c>
      <c r="I30" s="14">
        <v>16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2">
      <c r="A31" s="14"/>
      <c r="B31" s="14">
        <v>29</v>
      </c>
      <c r="C31" s="14">
        <v>17</v>
      </c>
      <c r="D31" s="14"/>
      <c r="E31" s="14">
        <v>29</v>
      </c>
      <c r="F31" s="14">
        <v>15</v>
      </c>
      <c r="G31" s="14"/>
      <c r="H31" s="14">
        <v>29</v>
      </c>
      <c r="I31" s="14">
        <v>16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2">
      <c r="A32" s="14"/>
      <c r="B32" s="14">
        <v>30</v>
      </c>
      <c r="C32" s="14">
        <v>17</v>
      </c>
      <c r="D32" s="14"/>
      <c r="E32" s="14">
        <v>30</v>
      </c>
      <c r="F32" s="14">
        <v>15</v>
      </c>
      <c r="G32" s="14"/>
      <c r="H32" s="14">
        <v>30</v>
      </c>
      <c r="I32" s="14">
        <v>16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2">
      <c r="A33" s="14"/>
      <c r="B33" s="14">
        <v>31</v>
      </c>
      <c r="C33" s="14">
        <v>17</v>
      </c>
      <c r="D33" s="14"/>
      <c r="E33" s="14">
        <v>31</v>
      </c>
      <c r="F33" s="14">
        <v>19</v>
      </c>
      <c r="G33" s="14"/>
      <c r="H33" s="14">
        <v>31</v>
      </c>
      <c r="I33" s="14">
        <v>27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"/>
  <cols>
    <col min="1" max="6" width="11.5703125" customWidth="1"/>
    <col min="7" max="26" width="8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Bcr</cp:lastModifiedBy>
  <dcterms:modified xsi:type="dcterms:W3CDTF">2021-08-11T15:18:51Z</dcterms:modified>
</cp:coreProperties>
</file>