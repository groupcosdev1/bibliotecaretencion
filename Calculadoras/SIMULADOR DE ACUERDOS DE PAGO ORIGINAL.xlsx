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cm6164b\Desktop\"/>
    </mc:Choice>
  </mc:AlternateContent>
  <bookViews>
    <workbookView xWindow="0" yWindow="0" windowWidth="19200" windowHeight="10995"/>
  </bookViews>
  <sheets>
    <sheet name="CALCULAR CUOTAS" sheetId="1" r:id="rId1"/>
    <sheet name="TICKLER" sheetId="5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4" i="1" l="1"/>
  <c r="C15" i="1" s="1"/>
  <c r="F9" i="5"/>
  <c r="C6" i="1"/>
  <c r="D10" i="5" s="1"/>
  <c r="D9" i="5" l="1"/>
  <c r="C16" i="1"/>
  <c r="C17" i="1" s="1"/>
  <c r="C18" i="1" s="1"/>
  <c r="C19" i="1" s="1"/>
  <c r="C20" i="1" s="1"/>
  <c r="F16" i="5" s="1"/>
  <c r="C7" i="1"/>
  <c r="C9" i="1" s="1"/>
  <c r="F13" i="5" l="1"/>
  <c r="F14" i="5"/>
  <c r="F15" i="5"/>
  <c r="F11" i="5"/>
  <c r="F12" i="5"/>
  <c r="D12" i="5"/>
  <c r="D14" i="5"/>
  <c r="D16" i="5"/>
  <c r="D13" i="5"/>
  <c r="D15" i="5"/>
  <c r="D11" i="5"/>
</calcChain>
</file>

<file path=xl/sharedStrings.xml><?xml version="1.0" encoding="utf-8"?>
<sst xmlns="http://schemas.openxmlformats.org/spreadsheetml/2006/main" count="66" uniqueCount="59">
  <si>
    <t>SALDO EN MORA</t>
  </si>
  <si>
    <t>CUOTA INICIAL MÍNIMA</t>
  </si>
  <si>
    <t>PLAZO MAXIMO EN MESES</t>
  </si>
  <si>
    <t>AUTORIZACION</t>
  </si>
  <si>
    <t>CALL CENTER, CAV´s Y PQR´s</t>
  </si>
  <si>
    <t>5 o 15</t>
  </si>
  <si>
    <t>ÁREA DE COBRANZA</t>
  </si>
  <si>
    <t>FECHAS PARA PAGOS DE CUOTAS</t>
  </si>
  <si>
    <t>Fecha de primera cuota</t>
  </si>
  <si>
    <t>Fecha de Segunda Cuota</t>
  </si>
  <si>
    <t>Fecha de Tercera cuota</t>
  </si>
  <si>
    <t>Fecha de Quinta Cuota</t>
  </si>
  <si>
    <t>Fecha de Sexta Cuota</t>
  </si>
  <si>
    <t>Fecha de Cuarta cuota</t>
  </si>
  <si>
    <t>Nota: Seleccione las fechas hasta el número de cuotas pactadas</t>
  </si>
  <si>
    <t xml:space="preserve">% del Pago inicial </t>
  </si>
  <si>
    <t>Entre $500.001= y  $2.000.000=</t>
  </si>
  <si>
    <t>Superior a $2.000.001</t>
  </si>
  <si>
    <t>DESCRIPCIÓN LARGA:</t>
  </si>
  <si>
    <t xml:space="preserve">Acuerdo de pago APROBADO y con servicio activo, (Debe pagar los CFM en la FLP durante la vigencia del acuerdop):
</t>
  </si>
  <si>
    <t>Pago inicial:</t>
  </si>
  <si>
    <t>1° CUOTA</t>
  </si>
  <si>
    <t>2°CUOTA</t>
  </si>
  <si>
    <t>3°CUOTA</t>
  </si>
  <si>
    <t>4° CUOTA</t>
  </si>
  <si>
    <t>5° CUOTA</t>
  </si>
  <si>
    <t>6° CUOTA</t>
  </si>
  <si>
    <t>FECHA DE PAGO:</t>
  </si>
  <si>
    <t>CONDICIONES:</t>
  </si>
  <si>
    <t xml:space="preserve">1.- Debe cancelar las facturas que se generen dentro de las fechas límites de pago mientras dure el acuerdo independientemente de las cuotas de este. </t>
  </si>
  <si>
    <t xml:space="preserve">2.- El acuerdo no exime de reportes ante centrales de riesgo ni cobro de intereses de mora. </t>
  </si>
  <si>
    <t xml:space="preserve">3.-El incumplimiento de cualquiera de los puntos anula el presente acuerdo. </t>
  </si>
  <si>
    <t xml:space="preserve">4.- En caso de aceptar las condiciones se retira la gestión de cobranza de abogado externo. </t>
  </si>
  <si>
    <t>5.- A partir de la fecha se verifica durante dos días hábiles el ingreso del primer pago.</t>
  </si>
  <si>
    <t>6.-Si no ingresa el pago inicial o éste se realiza por menor valor, se entiende como no aceptado el presente acuerdo.</t>
  </si>
  <si>
    <t>Fecha de la solicitud</t>
  </si>
  <si>
    <t>SALDO:</t>
  </si>
  <si>
    <t>7.-Después de cancelada la cuota inicial, el saldo restante deberá ser cancelado en las fechas establecidas dentro del acuerdo.</t>
  </si>
  <si>
    <t>8.- Puede hacer uso de cualquiera de nuestros canales hábilitados para pagos, pero se le recomienda usar preferiblemente medio de pago de cajas directas de claro.</t>
  </si>
  <si>
    <t>9.- El incumplimiento de alguna de las cuotas o cargos fijos mensuales acarreará la suspensión del servicio y se constituirá incumplimiento del acuerdo.</t>
  </si>
  <si>
    <t>RECUERDA:</t>
  </si>
  <si>
    <t xml:space="preserve">DESCRIPCIÓN CORTA: </t>
  </si>
  <si>
    <t>NOTA: Luego de calcular las cuotas y fechas dirígete a Tickler, el cual debe estar diligenciado.</t>
  </si>
  <si>
    <t>A INICIO</t>
  </si>
  <si>
    <t xml:space="preserve">FECHA DE LA SOLICITUD (HOY) </t>
  </si>
  <si>
    <t>DÍAS HÁBILES PARA PAGO CUOTA INICIAL</t>
  </si>
  <si>
    <t>CANTIDAD MAX. DE CUOTAS PARA ACUERDO (EN QUINCENAS)</t>
  </si>
  <si>
    <t>(Pagar en los siguientes 2 días hábiles.)</t>
  </si>
  <si>
    <t>Valor a diferir en cuotas</t>
  </si>
  <si>
    <r>
      <t xml:space="preserve">Valor cuota inicial </t>
    </r>
    <r>
      <rPr>
        <b/>
        <sz val="10"/>
        <color theme="0"/>
        <rFont val="Arial"/>
        <family val="2"/>
      </rPr>
      <t>(pagar en 2 días Hábiles)</t>
    </r>
  </si>
  <si>
    <t>PASOS PARA USO DEL SIMULADOR:                                                                                            1.- Digite el saldo en mora.                                                                                                   2.- Seleccione el % del pago inicial  (Ver tabla de Rangos).                                       3.- Seleccione el número de cuotas (Ver tabla de Rangos).                                             4.- Verifique que la fecha de la solicitud sea la del día de hoy.</t>
  </si>
  <si>
    <t>Saldo en mora</t>
  </si>
  <si>
    <t>TABLA DE RANGOS PARA ACUERDOS DE PAGOS</t>
  </si>
  <si>
    <t>Número de cuotas a pactar:</t>
  </si>
  <si>
    <t>Valor de cuotas</t>
  </si>
  <si>
    <r>
      <t xml:space="preserve">El tickler </t>
    </r>
    <r>
      <rPr>
        <b/>
        <sz val="11"/>
        <color rgb="FFFF0000"/>
        <rFont val="Calibri"/>
        <family val="2"/>
        <scheme val="minor"/>
      </rPr>
      <t>ACUERDOP</t>
    </r>
    <r>
      <rPr>
        <b/>
        <sz val="11"/>
        <color theme="1"/>
        <rFont val="Calibri"/>
        <family val="2"/>
        <scheme val="minor"/>
      </rPr>
      <t xml:space="preserve"> desaparece. Tu labor requiere de la creación de un tickler </t>
    </r>
    <r>
      <rPr>
        <b/>
        <sz val="11"/>
        <color rgb="FFFF0000"/>
        <rFont val="Calibri"/>
        <family val="2"/>
        <scheme val="minor"/>
      </rPr>
      <t>COD_INFO</t>
    </r>
    <r>
      <rPr>
        <b/>
        <sz val="11"/>
        <color theme="1"/>
        <rFont val="Calibri"/>
        <family val="2"/>
        <scheme val="minor"/>
      </rPr>
      <t xml:space="preserve"> con la siguiente información: </t>
    </r>
    <r>
      <rPr>
        <b/>
        <u/>
        <sz val="11"/>
        <color theme="1"/>
        <rFont val="Calibri"/>
        <family val="2"/>
        <scheme val="minor"/>
      </rPr>
      <t/>
    </r>
  </si>
  <si>
    <t>INF. ACUERDO DE PAGO.</t>
  </si>
  <si>
    <t>Entre $50.001= y  $100.000=</t>
  </si>
  <si>
    <t>Entre $100.001= y  $500.000=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</si>
</sst>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;[Red]\-&quot;$&quot;#,##0"/>
    <numFmt numFmtId="165" formatCode="_-&quot;$&quot;* #,##0_-;\-&quot;$&quot;* #,##0_-;_-&quot;$&quot;* &quot;-&quot;_-;_-@_-"/>
    <numFmt numFmtId="166" formatCode="&quot;$&quot;\ #,##0"/>
  </numFmts>
  <fonts count="16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C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Arial"/>
      <family val="2"/>
    </font>
    <font>
      <sz val="11"/>
      <name val="Symbol"/>
      <family val="1"/>
      <charset val="2"/>
    </font>
    <font>
      <b/>
      <u/>
      <sz val="11"/>
      <color rgb="FFC0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91">
    <xf numFmtId="0" fontId="0" fillId="0" borderId="0" xfId="0"/>
    <xf numFmtId="166" fontId="0" fillId="0" borderId="0" xfId="0" applyNumberFormat="1"/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vertical="center" wrapText="1"/>
    </xf>
    <xf numFmtId="0" fontId="3" fillId="4" borderId="8" xfId="0" applyFont="1" applyFill="1" applyBorder="1"/>
    <xf numFmtId="0" fontId="3" fillId="4" borderId="10" xfId="0" applyFont="1" applyFill="1" applyBorder="1"/>
    <xf numFmtId="0" fontId="10" fillId="4" borderId="8" xfId="0" applyFont="1" applyFill="1" applyBorder="1"/>
    <xf numFmtId="14" fontId="0" fillId="4" borderId="9" xfId="0" applyNumberFormat="1" applyFill="1" applyBorder="1" applyAlignment="1">
      <alignment horizontal="center"/>
    </xf>
    <xf numFmtId="14" fontId="0" fillId="4" borderId="12" xfId="0" applyNumberFormat="1" applyFill="1" applyBorder="1" applyAlignment="1">
      <alignment horizontal="center"/>
    </xf>
    <xf numFmtId="166" fontId="7" fillId="3" borderId="1" xfId="0" applyNumberFormat="1" applyFont="1" applyFill="1" applyBorder="1" applyProtection="1"/>
    <xf numFmtId="166" fontId="12" fillId="0" borderId="1" xfId="0" applyNumberFormat="1" applyFont="1" applyBorder="1" applyAlignment="1" applyProtection="1">
      <alignment vertical="center"/>
      <protection locked="0"/>
    </xf>
    <xf numFmtId="0" fontId="6" fillId="5" borderId="1" xfId="1" applyNumberFormat="1" applyFont="1" applyFill="1" applyBorder="1" applyAlignment="1" applyProtection="1">
      <alignment vertical="center"/>
      <protection locked="0"/>
    </xf>
    <xf numFmtId="9" fontId="4" fillId="0" borderId="0" xfId="0" applyNumberFormat="1" applyFont="1"/>
    <xf numFmtId="0" fontId="4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1" fillId="0" borderId="8" xfId="0" applyFont="1" applyBorder="1"/>
    <xf numFmtId="0" fontId="3" fillId="0" borderId="0" xfId="0" applyFont="1" applyBorder="1"/>
    <xf numFmtId="0" fontId="0" fillId="0" borderId="0" xfId="0" applyBorder="1"/>
    <xf numFmtId="0" fontId="0" fillId="0" borderId="9" xfId="0" applyBorder="1"/>
    <xf numFmtId="0" fontId="10" fillId="0" borderId="0" xfId="0" applyFont="1" applyBorder="1"/>
    <xf numFmtId="0" fontId="0" fillId="0" borderId="8" xfId="0" applyBorder="1"/>
    <xf numFmtId="0" fontId="0" fillId="0" borderId="8" xfId="0" applyBorder="1" applyAlignment="1">
      <alignment wrapText="1"/>
    </xf>
    <xf numFmtId="14" fontId="0" fillId="0" borderId="0" xfId="0" applyNumberFormat="1" applyBorder="1"/>
    <xf numFmtId="0" fontId="0" fillId="0" borderId="0" xfId="0" applyFont="1" applyBorder="1"/>
    <xf numFmtId="165" fontId="0" fillId="0" borderId="0" xfId="1" applyFont="1" applyBorder="1"/>
    <xf numFmtId="0" fontId="13" fillId="0" borderId="0" xfId="0" applyFont="1" applyBorder="1" applyAlignment="1">
      <alignment horizontal="justify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 applyAlignment="1">
      <alignment vertical="top"/>
    </xf>
    <xf numFmtId="0" fontId="0" fillId="0" borderId="9" xfId="0" applyBorder="1" applyAlignment="1">
      <alignment vertical="top"/>
    </xf>
    <xf numFmtId="0" fontId="11" fillId="0" borderId="8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right"/>
    </xf>
    <xf numFmtId="0" fontId="14" fillId="0" borderId="9" xfId="0" applyFont="1" applyBorder="1" applyAlignment="1">
      <alignment horizontal="left"/>
    </xf>
    <xf numFmtId="14" fontId="0" fillId="4" borderId="9" xfId="0" applyNumberFormat="1" applyFill="1" applyBorder="1" applyAlignment="1" applyProtection="1">
      <alignment horizontal="center"/>
    </xf>
    <xf numFmtId="0" fontId="15" fillId="3" borderId="4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/>
    </xf>
    <xf numFmtId="166" fontId="7" fillId="3" borderId="1" xfId="0" applyNumberFormat="1" applyFont="1" applyFill="1" applyBorder="1" applyAlignment="1" applyProtection="1">
      <alignment vertical="center"/>
    </xf>
    <xf numFmtId="9" fontId="6" fillId="5" borderId="1" xfId="0" applyNumberFormat="1" applyFont="1" applyFill="1" applyBorder="1" applyProtection="1">
      <protection locked="0"/>
    </xf>
    <xf numFmtId="9" fontId="10" fillId="9" borderId="16" xfId="0" applyNumberFormat="1" applyFont="1" applyFill="1" applyBorder="1" applyAlignment="1">
      <alignment horizontal="center" vertical="center"/>
    </xf>
    <xf numFmtId="9" fontId="10" fillId="9" borderId="15" xfId="0" applyNumberFormat="1" applyFont="1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9" fontId="10" fillId="0" borderId="14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 wrapText="1"/>
    </xf>
    <xf numFmtId="0" fontId="0" fillId="0" borderId="15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7" borderId="0" xfId="0" applyFont="1" applyFill="1" applyBorder="1" applyAlignment="1" applyProtection="1">
      <alignment horizontal="center" vertical="top" wrapText="1"/>
    </xf>
    <xf numFmtId="0" fontId="5" fillId="7" borderId="11" xfId="0" applyFont="1" applyFill="1" applyBorder="1" applyAlignment="1" applyProtection="1">
      <alignment horizontal="center" vertical="top" wrapText="1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164" fontId="3" fillId="6" borderId="16" xfId="0" applyNumberFormat="1" applyFont="1" applyFill="1" applyBorder="1" applyAlignment="1">
      <alignment horizontal="center" vertical="center" wrapText="1"/>
    </xf>
    <xf numFmtId="164" fontId="3" fillId="6" borderId="15" xfId="0" applyNumberFormat="1" applyFont="1" applyFill="1" applyBorder="1" applyAlignment="1">
      <alignment horizontal="center" vertical="center" wrapText="1"/>
    </xf>
    <xf numFmtId="164" fontId="3" fillId="8" borderId="16" xfId="0" applyNumberFormat="1" applyFont="1" applyFill="1" applyBorder="1" applyAlignment="1">
      <alignment horizontal="center" vertical="center" wrapText="1"/>
    </xf>
    <xf numFmtId="164" fontId="3" fillId="8" borderId="15" xfId="0" applyNumberFormat="1" applyFont="1" applyFill="1" applyBorder="1" applyAlignment="1">
      <alignment horizontal="center" vertical="center" wrapText="1"/>
    </xf>
    <xf numFmtId="9" fontId="10" fillId="6" borderId="16" xfId="0" applyNumberFormat="1" applyFont="1" applyFill="1" applyBorder="1" applyAlignment="1">
      <alignment horizontal="center" vertical="center"/>
    </xf>
    <xf numFmtId="9" fontId="10" fillId="6" borderId="15" xfId="0" applyNumberFormat="1" applyFon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9" fontId="10" fillId="8" borderId="16" xfId="0" applyNumberFormat="1" applyFont="1" applyFill="1" applyBorder="1" applyAlignment="1">
      <alignment horizontal="center" vertical="center"/>
    </xf>
    <xf numFmtId="0" fontId="10" fillId="8" borderId="15" xfId="0" applyFont="1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164" fontId="3" fillId="9" borderId="16" xfId="0" applyNumberFormat="1" applyFont="1" applyFill="1" applyBorder="1" applyAlignment="1">
      <alignment horizontal="center" vertical="center" wrapText="1"/>
    </xf>
    <xf numFmtId="164" fontId="3" fillId="9" borderId="15" xfId="0" applyNumberFormat="1" applyFont="1" applyFill="1" applyBorder="1" applyAlignment="1">
      <alignment horizontal="center" vertical="center" wrapText="1"/>
    </xf>
  </cellXfs>
  <cellStyles count="2">
    <cellStyle name="Moneda [0]" xfId="1" builtinId="7"/>
    <cellStyle name="Normal" xfId="0" builtinId="0"/>
  </cellStyles>
  <dxfs count="4">
    <dxf>
      <font>
        <color rgb="FF9C65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theme="1"/>
      </font>
    </dxf>
    <dxf>
      <font>
        <color theme="1"/>
      </font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TICKLER!A1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4.png"/><Relationship Id="rId1" Type="http://schemas.openxmlformats.org/officeDocument/2006/relationships/hyperlink" Target="#'CALCULAR CUOTAS'!A1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878417</xdr:colOff>
      <xdr:row>14</xdr:row>
      <xdr:rowOff>74071</xdr:rowOff>
    </xdr:from>
    <xdr:to>
      <xdr:col>6</xdr:col>
      <xdr:colOff>808196</xdr:colOff>
      <xdr:row>22</xdr:row>
      <xdr:rowOff>20944</xdr:rowOff>
    </xdr:to>
    <xdr:pic>
      <xdr:nvPicPr>
        <xdr:cNvPr id="13" name="12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44417" y="3481904"/>
          <a:ext cx="2554445" cy="1481456"/>
        </a:xfrm>
        <a:prstGeom prst="rect">
          <a:avLst/>
        </a:prstGeom>
      </xdr:spPr>
    </xdr:pic>
    <xdr:clientData/>
  </xdr:twoCellAnchor>
  <xdr:twoCellAnchor editAs="oneCell">
    <xdr:from>
      <xdr:col>5</xdr:col>
      <xdr:colOff>229220</xdr:colOff>
      <xdr:row>19</xdr:row>
      <xdr:rowOff>111161</xdr:rowOff>
    </xdr:from>
    <xdr:to>
      <xdr:col>6</xdr:col>
      <xdr:colOff>332131</xdr:colOff>
      <xdr:row>23</xdr:row>
      <xdr:rowOff>150571</xdr:rowOff>
    </xdr:to>
    <xdr:pic>
      <xdr:nvPicPr>
        <xdr:cNvPr id="5" name="Picture 2" descr="C:\Users\EGZ3234A\Desktop\ARCHIVO\Imagenes para presentación\84590.png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291115">
          <a:off x="9510803" y="4524411"/>
          <a:ext cx="811994" cy="811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201083</xdr:colOff>
      <xdr:row>15</xdr:row>
      <xdr:rowOff>10584</xdr:rowOff>
    </xdr:from>
    <xdr:to>
      <xdr:col>8</xdr:col>
      <xdr:colOff>604205</xdr:colOff>
      <xdr:row>21</xdr:row>
      <xdr:rowOff>88500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8250" y="3661834"/>
          <a:ext cx="1249788" cy="12314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537640</xdr:colOff>
      <xdr:row>1</xdr:row>
      <xdr:rowOff>48223</xdr:rowOff>
    </xdr:from>
    <xdr:to>
      <xdr:col>11</xdr:col>
      <xdr:colOff>728629</xdr:colOff>
      <xdr:row>6</xdr:row>
      <xdr:rowOff>30216</xdr:rowOff>
    </xdr:to>
    <xdr:grpSp>
      <xdr:nvGrpSpPr>
        <xdr:cNvPr id="6" name="5 Grup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GrpSpPr/>
      </xdr:nvGrpSpPr>
      <xdr:grpSpPr>
        <a:xfrm>
          <a:off x="11015140" y="249929"/>
          <a:ext cx="952989" cy="934493"/>
          <a:chOff x="9513793" y="918883"/>
          <a:chExt cx="1647265" cy="1680882"/>
        </a:xfrm>
      </xdr:grpSpPr>
      <xdr:sp macro="" textlink="">
        <xdr:nvSpPr>
          <xdr:cNvPr id="5" name="4 Elipse">
            <a:extLst>
              <a:ext uri="{FF2B5EF4-FFF2-40B4-BE49-F238E27FC236}">
                <a16:creationId xmlns:a16="http://schemas.microsoft.com/office/drawing/2014/main" xmlns="" id="{00000000-0008-0000-0100-000005000000}"/>
              </a:ext>
            </a:extLst>
          </xdr:cNvPr>
          <xdr:cNvSpPr/>
        </xdr:nvSpPr>
        <xdr:spPr>
          <a:xfrm>
            <a:off x="9513793" y="918883"/>
            <a:ext cx="1647265" cy="1680882"/>
          </a:xfrm>
          <a:prstGeom prst="ellipse">
            <a:avLst/>
          </a:prstGeom>
          <a:solidFill>
            <a:srgbClr val="C00000"/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pic>
        <xdr:nvPicPr>
          <xdr:cNvPr id="4" name="Picture 13" descr="C:\Users\EGZ3234A\Desktop\ARCHIVO\Imagenes para presentación\home-128.png">
            <a:extLst>
              <a:ext uri="{FF2B5EF4-FFF2-40B4-BE49-F238E27FC236}">
                <a16:creationId xmlns:a16="http://schemas.microsoft.com/office/drawing/2014/main" xmlns="" id="{00000000-0008-0000-01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biLevel thresh="25000"/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737912" y="1143000"/>
            <a:ext cx="1219200" cy="12192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6</xdr:col>
      <xdr:colOff>414618</xdr:colOff>
      <xdr:row>8</xdr:row>
      <xdr:rowOff>168088</xdr:rowOff>
    </xdr:from>
    <xdr:to>
      <xdr:col>9</xdr:col>
      <xdr:colOff>302416</xdr:colOff>
      <xdr:row>15</xdr:row>
      <xdr:rowOff>172310</xdr:rowOff>
    </xdr:to>
    <xdr:grpSp>
      <xdr:nvGrpSpPr>
        <xdr:cNvPr id="3" name="2 Grupo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pSpPr/>
      </xdr:nvGrpSpPr>
      <xdr:grpSpPr>
        <a:xfrm>
          <a:off x="7844118" y="1703294"/>
          <a:ext cx="2173798" cy="1337722"/>
          <a:chOff x="7844118" y="1703294"/>
          <a:chExt cx="2173798" cy="1337722"/>
        </a:xfrm>
      </xdr:grpSpPr>
      <xdr:pic>
        <xdr:nvPicPr>
          <xdr:cNvPr id="7" name="38 Imagen">
            <a:extLst>
              <a:ext uri="{FF2B5EF4-FFF2-40B4-BE49-F238E27FC236}">
                <a16:creationId xmlns:a16="http://schemas.microsoft.com/office/drawing/2014/main" xmlns="" id="{00000000-0008-0000-0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44118" y="1703294"/>
            <a:ext cx="2173798" cy="1337722"/>
          </a:xfrm>
          <a:prstGeom prst="rect">
            <a:avLst/>
          </a:prstGeom>
        </xdr:spPr>
      </xdr:pic>
      <xdr:sp macro="" textlink="">
        <xdr:nvSpPr>
          <xdr:cNvPr id="2" name="1 CuadroTexto">
            <a:extLst>
              <a:ext uri="{FF2B5EF4-FFF2-40B4-BE49-F238E27FC236}">
                <a16:creationId xmlns:a16="http://schemas.microsoft.com/office/drawing/2014/main" xmlns="" id="{00000000-0008-0000-0100-000002000000}"/>
              </a:ext>
            </a:extLst>
          </xdr:cNvPr>
          <xdr:cNvSpPr txBox="1"/>
        </xdr:nvSpPr>
        <xdr:spPr>
          <a:xfrm>
            <a:off x="7855321" y="1792941"/>
            <a:ext cx="1053355" cy="7395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000"/>
              <a:t>Seleccione  hasta el número </a:t>
            </a:r>
            <a:r>
              <a:rPr lang="es-CO" sz="1000" baseline="0"/>
              <a:t>de cuotas pactadas.</a:t>
            </a:r>
            <a:endParaRPr lang="es-CO" sz="10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3"/>
  <sheetViews>
    <sheetView showGridLines="0" tabSelected="1" zoomScale="90" zoomScaleNormal="90" workbookViewId="0">
      <selection activeCell="E19" sqref="E19"/>
    </sheetView>
  </sheetViews>
  <sheetFormatPr baseColWidth="10" defaultRowHeight="15" x14ac:dyDescent="0.25"/>
  <cols>
    <col min="1" max="1" width="5.140625" customWidth="1"/>
    <col min="2" max="2" width="60" customWidth="1"/>
    <col min="3" max="3" width="39" customWidth="1"/>
    <col min="5" max="5" width="28.7109375" bestFit="1" customWidth="1"/>
    <col min="6" max="6" width="10.5703125" customWidth="1"/>
    <col min="7" max="7" width="13" customWidth="1"/>
    <col min="8" max="8" width="12.7109375" customWidth="1"/>
    <col min="9" max="9" width="13.7109375" customWidth="1"/>
    <col min="10" max="10" width="14.5703125" bestFit="1" customWidth="1"/>
  </cols>
  <sheetData>
    <row r="1" spans="2:15" ht="38.25" customHeight="1" thickBot="1" x14ac:dyDescent="0.3">
      <c r="B1" s="66" t="s">
        <v>50</v>
      </c>
      <c r="C1" s="66"/>
      <c r="E1" s="70" t="s">
        <v>52</v>
      </c>
      <c r="F1" s="71"/>
      <c r="G1" s="71"/>
      <c r="H1" s="71"/>
      <c r="I1" s="71"/>
      <c r="J1" s="72"/>
      <c r="N1" s="13"/>
      <c r="O1" s="14"/>
    </row>
    <row r="2" spans="2:15" ht="73.5" customHeight="1" thickBot="1" x14ac:dyDescent="0.3">
      <c r="B2" s="67"/>
      <c r="C2" s="67"/>
      <c r="E2" s="39" t="s">
        <v>0</v>
      </c>
      <c r="F2" s="39" t="s">
        <v>1</v>
      </c>
      <c r="G2" s="39" t="s">
        <v>45</v>
      </c>
      <c r="H2" s="39" t="s">
        <v>46</v>
      </c>
      <c r="I2" s="39" t="s">
        <v>2</v>
      </c>
      <c r="J2" s="40" t="s">
        <v>3</v>
      </c>
      <c r="N2" s="13">
        <v>0.3</v>
      </c>
      <c r="O2" s="14">
        <v>1</v>
      </c>
    </row>
    <row r="3" spans="2:15" ht="17.25" customHeight="1" x14ac:dyDescent="0.25">
      <c r="B3" s="68"/>
      <c r="C3" s="69"/>
      <c r="E3" s="89" t="s">
        <v>57</v>
      </c>
      <c r="F3" s="44">
        <v>0.3</v>
      </c>
      <c r="G3" s="46">
        <v>2</v>
      </c>
      <c r="H3" s="46">
        <v>2</v>
      </c>
      <c r="I3" s="46">
        <v>1</v>
      </c>
      <c r="J3" s="48" t="s">
        <v>4</v>
      </c>
      <c r="N3" s="13">
        <v>0.4</v>
      </c>
      <c r="O3" s="14">
        <v>2</v>
      </c>
    </row>
    <row r="4" spans="2:15" ht="18" customHeight="1" thickBot="1" x14ac:dyDescent="0.3">
      <c r="B4" s="2" t="s">
        <v>51</v>
      </c>
      <c r="C4" s="11"/>
      <c r="E4" s="90"/>
      <c r="F4" s="45"/>
      <c r="G4" s="47"/>
      <c r="H4" s="47"/>
      <c r="I4" s="47"/>
      <c r="J4" s="49"/>
      <c r="N4" s="13">
        <v>0.5</v>
      </c>
      <c r="O4" s="14">
        <v>3</v>
      </c>
    </row>
    <row r="5" spans="2:15" ht="15.75" customHeight="1" x14ac:dyDescent="0.25">
      <c r="B5" s="3" t="s">
        <v>15</v>
      </c>
      <c r="C5" s="43"/>
      <c r="E5" s="73" t="s">
        <v>58</v>
      </c>
      <c r="F5" s="77">
        <v>0.3</v>
      </c>
      <c r="G5" s="79">
        <v>2</v>
      </c>
      <c r="H5" s="79">
        <v>4</v>
      </c>
      <c r="I5" s="79">
        <v>2</v>
      </c>
      <c r="J5" s="81" t="s">
        <v>4</v>
      </c>
      <c r="N5" s="13">
        <v>0.6</v>
      </c>
      <c r="O5" s="14">
        <v>4</v>
      </c>
    </row>
    <row r="6" spans="2:15" ht="19.5" customHeight="1" thickBot="1" x14ac:dyDescent="0.3">
      <c r="B6" s="41" t="s">
        <v>49</v>
      </c>
      <c r="C6" s="10">
        <f>C4*C5</f>
        <v>0</v>
      </c>
      <c r="E6" s="74"/>
      <c r="F6" s="78"/>
      <c r="G6" s="80"/>
      <c r="H6" s="80"/>
      <c r="I6" s="80"/>
      <c r="J6" s="82"/>
      <c r="N6" s="13">
        <v>0.7</v>
      </c>
      <c r="O6" s="14">
        <v>5</v>
      </c>
    </row>
    <row r="7" spans="2:15" ht="15.75" x14ac:dyDescent="0.25">
      <c r="B7" s="4" t="s">
        <v>48</v>
      </c>
      <c r="C7" s="10">
        <f>C4-C6</f>
        <v>0</v>
      </c>
      <c r="E7" s="75" t="s">
        <v>16</v>
      </c>
      <c r="F7" s="83">
        <v>0.4</v>
      </c>
      <c r="G7" s="85">
        <v>2</v>
      </c>
      <c r="H7" s="85">
        <v>6</v>
      </c>
      <c r="I7" s="85">
        <v>3</v>
      </c>
      <c r="J7" s="87" t="s">
        <v>4</v>
      </c>
      <c r="N7" s="13">
        <v>0.8</v>
      </c>
      <c r="O7" s="14">
        <v>6</v>
      </c>
    </row>
    <row r="8" spans="2:15" ht="20.25" customHeight="1" thickBot="1" x14ac:dyDescent="0.3">
      <c r="B8" s="2" t="s">
        <v>53</v>
      </c>
      <c r="C8" s="12"/>
      <c r="E8" s="76"/>
      <c r="F8" s="84"/>
      <c r="G8" s="86"/>
      <c r="H8" s="86"/>
      <c r="I8" s="86"/>
      <c r="J8" s="88"/>
      <c r="N8" s="13">
        <v>0.9</v>
      </c>
      <c r="O8" s="14"/>
    </row>
    <row r="9" spans="2:15" ht="18" customHeight="1" x14ac:dyDescent="0.25">
      <c r="B9" s="4" t="s">
        <v>54</v>
      </c>
      <c r="C9" s="42" t="e">
        <f>C7/C8</f>
        <v>#DIV/0!</v>
      </c>
      <c r="E9" s="58" t="s">
        <v>17</v>
      </c>
      <c r="F9" s="60">
        <v>0.4</v>
      </c>
      <c r="G9" s="62" t="s">
        <v>5</v>
      </c>
      <c r="H9" s="64">
        <v>12</v>
      </c>
      <c r="I9" s="64">
        <v>6</v>
      </c>
      <c r="J9" s="50" t="s">
        <v>6</v>
      </c>
      <c r="N9" s="13">
        <v>1</v>
      </c>
      <c r="O9" s="14"/>
    </row>
    <row r="10" spans="2:15" ht="15.75" thickBot="1" x14ac:dyDescent="0.3">
      <c r="C10" s="1"/>
      <c r="E10" s="59"/>
      <c r="F10" s="61"/>
      <c r="G10" s="63"/>
      <c r="H10" s="65"/>
      <c r="I10" s="65"/>
      <c r="J10" s="51"/>
    </row>
    <row r="12" spans="2:15" ht="15.75" thickBot="1" x14ac:dyDescent="0.3"/>
    <row r="13" spans="2:15" ht="18.75" x14ac:dyDescent="0.3">
      <c r="B13" s="52" t="s">
        <v>7</v>
      </c>
      <c r="C13" s="53"/>
      <c r="E13" s="57" t="s">
        <v>42</v>
      </c>
      <c r="F13" s="57"/>
      <c r="G13" s="57"/>
      <c r="H13" s="57"/>
      <c r="I13" s="57"/>
      <c r="J13" s="57"/>
    </row>
    <row r="14" spans="2:15" x14ac:dyDescent="0.25">
      <c r="B14" s="7" t="s">
        <v>44</v>
      </c>
      <c r="C14" s="38">
        <f ca="1">NOW()</f>
        <v>43698.548700578707</v>
      </c>
    </row>
    <row r="15" spans="2:15" x14ac:dyDescent="0.25">
      <c r="B15" s="5" t="s">
        <v>8</v>
      </c>
      <c r="C15" s="8">
        <f ca="1">C14+15</f>
        <v>43713.548700578707</v>
      </c>
    </row>
    <row r="16" spans="2:15" x14ac:dyDescent="0.25">
      <c r="B16" s="5" t="s">
        <v>9</v>
      </c>
      <c r="C16" s="8">
        <f ca="1">C15+15</f>
        <v>43728.548700578707</v>
      </c>
    </row>
    <row r="17" spans="2:7" x14ac:dyDescent="0.25">
      <c r="B17" s="5" t="s">
        <v>10</v>
      </c>
      <c r="C17" s="8">
        <f t="shared" ref="C17:C20" ca="1" si="0">C16+15</f>
        <v>43743.548700578707</v>
      </c>
    </row>
    <row r="18" spans="2:7" x14ac:dyDescent="0.25">
      <c r="B18" s="5" t="s">
        <v>13</v>
      </c>
      <c r="C18" s="8">
        <f t="shared" ca="1" si="0"/>
        <v>43758.548700578707</v>
      </c>
    </row>
    <row r="19" spans="2:7" x14ac:dyDescent="0.25">
      <c r="B19" s="5" t="s">
        <v>11</v>
      </c>
      <c r="C19" s="8">
        <f t="shared" ca="1" si="0"/>
        <v>43773.548700578707</v>
      </c>
    </row>
    <row r="20" spans="2:7" ht="15.75" thickBot="1" x14ac:dyDescent="0.3">
      <c r="B20" s="6" t="s">
        <v>12</v>
      </c>
      <c r="C20" s="9">
        <f t="shared" ca="1" si="0"/>
        <v>43788.548700578707</v>
      </c>
    </row>
    <row r="21" spans="2:7" x14ac:dyDescent="0.25">
      <c r="B21" s="54" t="s">
        <v>14</v>
      </c>
      <c r="C21" s="55"/>
    </row>
    <row r="23" spans="2:7" x14ac:dyDescent="0.25">
      <c r="F23" s="56"/>
      <c r="G23" s="56"/>
    </row>
  </sheetData>
  <sheetProtection algorithmName="SHA-512" hashValue="ZhzVMcYmvOAYqAX3Vx0HmzRs05VdYihGN3opS+AceDEyHo0hasWeDPhqZD2e5XDYpiGwpm4ZxqYBTHQkPm2W+w==" saltValue="U3rubXpCwtBQCBmF8/8EFw==" spinCount="100000" sheet="1" objects="1" scenarios="1" formatCells="0" formatColumns="0" formatRows="0" insertColumns="0" insertRows="0" insertHyperlinks="0" deleteColumns="0" deleteRows="0" sort="0" autoFilter="0" pivotTables="0"/>
  <mergeCells count="31">
    <mergeCell ref="B1:C2"/>
    <mergeCell ref="B3:C3"/>
    <mergeCell ref="E1:J1"/>
    <mergeCell ref="E5:E6"/>
    <mergeCell ref="E7:E8"/>
    <mergeCell ref="F5:F6"/>
    <mergeCell ref="G5:G6"/>
    <mergeCell ref="H5:H6"/>
    <mergeCell ref="I5:I6"/>
    <mergeCell ref="J5:J6"/>
    <mergeCell ref="F7:F8"/>
    <mergeCell ref="G7:G8"/>
    <mergeCell ref="H7:H8"/>
    <mergeCell ref="I7:I8"/>
    <mergeCell ref="J7:J8"/>
    <mergeCell ref="E3:E4"/>
    <mergeCell ref="J9:J10"/>
    <mergeCell ref="B13:C13"/>
    <mergeCell ref="B21:C21"/>
    <mergeCell ref="F23:G23"/>
    <mergeCell ref="E13:J13"/>
    <mergeCell ref="E9:E10"/>
    <mergeCell ref="F9:F10"/>
    <mergeCell ref="G9:G10"/>
    <mergeCell ref="H9:H10"/>
    <mergeCell ref="I9:I10"/>
    <mergeCell ref="F3:F4"/>
    <mergeCell ref="G3:G4"/>
    <mergeCell ref="H3:H4"/>
    <mergeCell ref="I3:I4"/>
    <mergeCell ref="J3:J4"/>
  </mergeCells>
  <conditionalFormatting sqref="C4">
    <cfRule type="cellIs" dxfId="3" priority="1" operator="between">
      <formula>500001</formula>
      <formula>1000000</formula>
    </cfRule>
    <cfRule type="cellIs" dxfId="2" priority="2" operator="between">
      <formula>10000</formula>
      <formula>500000</formula>
    </cfRule>
    <cfRule type="cellIs" dxfId="1" priority="3" operator="between">
      <formula>10000</formula>
      <formula>500000</formula>
    </cfRule>
    <cfRule type="cellIs" dxfId="0" priority="4" operator="between">
      <formula>10000</formula>
      <formula>500000</formula>
    </cfRule>
  </conditionalFormatting>
  <dataValidations count="2">
    <dataValidation type="list" allowBlank="1" showInputMessage="1" showErrorMessage="1" sqref="C5">
      <formula1>$N$1:$N$9</formula1>
    </dataValidation>
    <dataValidation type="list" allowBlank="1" showInputMessage="1" showErrorMessage="1" sqref="C8">
      <formula1>$O$1:$O$7</formula1>
    </dataValidation>
  </dataValidations>
  <pageMargins left="0.7" right="0.7" top="0.75" bottom="0.75" header="0.3" footer="0.3"/>
  <pageSetup orientation="portrait" r:id="rId1"/>
  <ignoredErrors>
    <ignoredError sqref="C9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showGridLines="0" zoomScale="85" zoomScaleNormal="85" workbookViewId="0">
      <selection activeCell="D6" sqref="D6"/>
    </sheetView>
  </sheetViews>
  <sheetFormatPr baseColWidth="10" defaultColWidth="0" defaultRowHeight="15" zeroHeight="1" x14ac:dyDescent="0.25"/>
  <cols>
    <col min="1" max="1" width="11.42578125" customWidth="1"/>
    <col min="2" max="2" width="20.42578125" customWidth="1"/>
    <col min="3" max="3" width="30" customWidth="1"/>
    <col min="4" max="4" width="14.42578125" customWidth="1"/>
    <col min="5" max="5" width="21.7109375" bestFit="1" customWidth="1"/>
    <col min="6" max="6" width="13.28515625" customWidth="1"/>
    <col min="7" max="15" width="11.42578125" customWidth="1"/>
    <col min="16" max="16384" width="11.42578125" hidden="1"/>
  </cols>
  <sheetData>
    <row r="1" spans="2:13" ht="15.75" thickBot="1" x14ac:dyDescent="0.3"/>
    <row r="2" spans="2:13" x14ac:dyDescent="0.25"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</row>
    <row r="3" spans="2:13" x14ac:dyDescent="0.25">
      <c r="B3" s="34" t="s">
        <v>40</v>
      </c>
      <c r="C3" s="19" t="s">
        <v>55</v>
      </c>
      <c r="D3" s="20"/>
      <c r="E3" s="20"/>
      <c r="F3" s="20"/>
      <c r="G3" s="20"/>
      <c r="H3" s="20"/>
      <c r="I3" s="20"/>
      <c r="J3" s="20"/>
      <c r="K3" s="20"/>
      <c r="L3" s="20"/>
      <c r="M3" s="21"/>
    </row>
    <row r="4" spans="2:13" x14ac:dyDescent="0.25">
      <c r="B4" s="34"/>
      <c r="C4" s="19"/>
      <c r="D4" s="20"/>
      <c r="E4" s="20"/>
      <c r="F4" s="20"/>
      <c r="G4" s="20"/>
      <c r="H4" s="20"/>
      <c r="I4" s="20"/>
      <c r="J4" s="20"/>
      <c r="K4" s="20"/>
      <c r="L4" s="20"/>
      <c r="M4" s="21"/>
    </row>
    <row r="5" spans="2:13" x14ac:dyDescent="0.25">
      <c r="B5" s="18"/>
      <c r="C5" s="22" t="s">
        <v>41</v>
      </c>
      <c r="D5" s="35" t="s">
        <v>56</v>
      </c>
      <c r="E5" s="20"/>
      <c r="F5" s="20"/>
      <c r="G5" s="20"/>
      <c r="H5" s="20"/>
      <c r="I5" s="20"/>
      <c r="J5" s="20"/>
      <c r="K5" s="20"/>
      <c r="L5" s="36"/>
      <c r="M5" s="37" t="s">
        <v>43</v>
      </c>
    </row>
    <row r="6" spans="2:13" x14ac:dyDescent="0.25">
      <c r="B6" s="23"/>
      <c r="C6" s="22" t="s">
        <v>18</v>
      </c>
      <c r="D6" s="20"/>
      <c r="E6" s="20"/>
      <c r="F6" s="20"/>
      <c r="G6" s="20"/>
      <c r="H6" s="20"/>
      <c r="I6" s="20"/>
      <c r="J6" s="20"/>
      <c r="K6" s="20"/>
      <c r="L6" s="20"/>
      <c r="M6" s="21"/>
    </row>
    <row r="7" spans="2:13" ht="15" customHeight="1" x14ac:dyDescent="0.25">
      <c r="B7" s="24"/>
      <c r="C7" s="32" t="s">
        <v>19</v>
      </c>
      <c r="D7" s="32"/>
      <c r="E7" s="32"/>
      <c r="F7" s="32"/>
      <c r="G7" s="32"/>
      <c r="H7" s="32"/>
      <c r="I7" s="32"/>
      <c r="J7" s="32"/>
      <c r="K7" s="32"/>
      <c r="L7" s="32"/>
      <c r="M7" s="33"/>
    </row>
    <row r="8" spans="2:13" x14ac:dyDescent="0.25">
      <c r="B8" s="23"/>
      <c r="C8" s="20"/>
      <c r="D8" s="20"/>
      <c r="E8" s="20"/>
      <c r="F8" s="20"/>
      <c r="G8" s="20"/>
      <c r="H8" s="20"/>
      <c r="I8" s="20"/>
      <c r="J8" s="20"/>
      <c r="K8" s="20"/>
      <c r="L8" s="20"/>
      <c r="M8" s="21"/>
    </row>
    <row r="9" spans="2:13" x14ac:dyDescent="0.25">
      <c r="B9" s="23"/>
      <c r="C9" s="20" t="s">
        <v>35</v>
      </c>
      <c r="D9" s="25">
        <f ca="1">'CALCULAR CUOTAS'!C14</f>
        <v>43698.548700578707</v>
      </c>
      <c r="E9" s="26" t="s">
        <v>36</v>
      </c>
      <c r="F9" s="27">
        <f>'CALCULAR CUOTAS'!C4</f>
        <v>0</v>
      </c>
      <c r="G9" s="20"/>
      <c r="H9" s="20"/>
      <c r="I9" s="20"/>
      <c r="J9" s="20"/>
      <c r="K9" s="20"/>
      <c r="L9" s="20"/>
      <c r="M9" s="21"/>
    </row>
    <row r="10" spans="2:13" x14ac:dyDescent="0.25">
      <c r="B10" s="23"/>
      <c r="C10" s="20" t="s">
        <v>20</v>
      </c>
      <c r="D10" s="27">
        <f>'CALCULAR CUOTAS'!C6</f>
        <v>0</v>
      </c>
      <c r="E10" s="20" t="s">
        <v>47</v>
      </c>
      <c r="F10" s="20"/>
      <c r="G10" s="20"/>
      <c r="H10" s="20"/>
      <c r="I10" s="20"/>
      <c r="J10" s="20"/>
      <c r="K10" s="20"/>
      <c r="L10" s="20"/>
      <c r="M10" s="21"/>
    </row>
    <row r="11" spans="2:13" x14ac:dyDescent="0.25">
      <c r="B11" s="23"/>
      <c r="C11" s="19" t="s">
        <v>21</v>
      </c>
      <c r="D11" s="27" t="e">
        <f>'CALCULAR CUOTAS'!$C$9</f>
        <v>#DIV/0!</v>
      </c>
      <c r="E11" s="19" t="s">
        <v>27</v>
      </c>
      <c r="F11" s="25">
        <f ca="1">'CALCULAR CUOTAS'!C15</f>
        <v>43713.548700578707</v>
      </c>
      <c r="G11" s="20"/>
      <c r="H11" s="20"/>
      <c r="I11" s="20"/>
      <c r="J11" s="20"/>
      <c r="K11" s="20"/>
      <c r="L11" s="20"/>
      <c r="M11" s="21"/>
    </row>
    <row r="12" spans="2:13" x14ac:dyDescent="0.25">
      <c r="B12" s="23"/>
      <c r="C12" s="19" t="s">
        <v>22</v>
      </c>
      <c r="D12" s="27" t="e">
        <f>'CALCULAR CUOTAS'!$C$9</f>
        <v>#DIV/0!</v>
      </c>
      <c r="E12" s="19" t="s">
        <v>27</v>
      </c>
      <c r="F12" s="25">
        <f ca="1">'CALCULAR CUOTAS'!C16</f>
        <v>43728.548700578707</v>
      </c>
      <c r="G12" s="20"/>
      <c r="H12" s="20"/>
      <c r="I12" s="20"/>
      <c r="J12" s="20"/>
      <c r="K12" s="20"/>
      <c r="L12" s="20"/>
      <c r="M12" s="21"/>
    </row>
    <row r="13" spans="2:13" x14ac:dyDescent="0.25">
      <c r="B13" s="23"/>
      <c r="C13" s="19" t="s">
        <v>23</v>
      </c>
      <c r="D13" s="27" t="e">
        <f>'CALCULAR CUOTAS'!$C$9</f>
        <v>#DIV/0!</v>
      </c>
      <c r="E13" s="19" t="s">
        <v>27</v>
      </c>
      <c r="F13" s="25">
        <f ca="1">'CALCULAR CUOTAS'!C17</f>
        <v>43743.548700578707</v>
      </c>
      <c r="G13" s="20"/>
      <c r="H13" s="20"/>
      <c r="I13" s="20"/>
      <c r="J13" s="20"/>
      <c r="K13" s="20"/>
      <c r="L13" s="20"/>
      <c r="M13" s="21"/>
    </row>
    <row r="14" spans="2:13" x14ac:dyDescent="0.25">
      <c r="B14" s="23"/>
      <c r="C14" s="19" t="s">
        <v>24</v>
      </c>
      <c r="D14" s="27" t="e">
        <f>'CALCULAR CUOTAS'!$C$9</f>
        <v>#DIV/0!</v>
      </c>
      <c r="E14" s="19" t="s">
        <v>27</v>
      </c>
      <c r="F14" s="25">
        <f ca="1">'CALCULAR CUOTAS'!C18</f>
        <v>43758.548700578707</v>
      </c>
      <c r="G14" s="20"/>
      <c r="H14" s="20"/>
      <c r="I14" s="20"/>
      <c r="J14" s="20"/>
      <c r="K14" s="20"/>
      <c r="L14" s="20"/>
      <c r="M14" s="21"/>
    </row>
    <row r="15" spans="2:13" x14ac:dyDescent="0.25">
      <c r="B15" s="23"/>
      <c r="C15" s="19" t="s">
        <v>25</v>
      </c>
      <c r="D15" s="27" t="e">
        <f>'CALCULAR CUOTAS'!$C$9</f>
        <v>#DIV/0!</v>
      </c>
      <c r="E15" s="19" t="s">
        <v>27</v>
      </c>
      <c r="F15" s="25">
        <f ca="1">'CALCULAR CUOTAS'!C19</f>
        <v>43773.548700578707</v>
      </c>
      <c r="G15" s="20"/>
      <c r="H15" s="20"/>
      <c r="I15" s="20"/>
      <c r="J15" s="20"/>
      <c r="K15" s="20"/>
      <c r="L15" s="20"/>
      <c r="M15" s="21"/>
    </row>
    <row r="16" spans="2:13" x14ac:dyDescent="0.25">
      <c r="B16" s="23"/>
      <c r="C16" s="19" t="s">
        <v>26</v>
      </c>
      <c r="D16" s="27" t="e">
        <f>'CALCULAR CUOTAS'!$C$9</f>
        <v>#DIV/0!</v>
      </c>
      <c r="E16" s="19" t="s">
        <v>27</v>
      </c>
      <c r="F16" s="25">
        <f ca="1">'CALCULAR CUOTAS'!C20</f>
        <v>43788.548700578707</v>
      </c>
      <c r="G16" s="20"/>
      <c r="H16" s="20"/>
      <c r="I16" s="20"/>
      <c r="J16" s="20"/>
      <c r="K16" s="20"/>
      <c r="L16" s="20"/>
      <c r="M16" s="21"/>
    </row>
    <row r="17" spans="2:13" x14ac:dyDescent="0.25">
      <c r="B17" s="23"/>
      <c r="C17" s="19" t="s">
        <v>28</v>
      </c>
      <c r="D17" s="20"/>
      <c r="E17" s="20"/>
      <c r="F17" s="20"/>
      <c r="G17" s="20"/>
      <c r="H17" s="20"/>
      <c r="I17" s="20"/>
      <c r="J17" s="20"/>
      <c r="K17" s="20"/>
      <c r="L17" s="20"/>
      <c r="M17" s="21"/>
    </row>
    <row r="18" spans="2:13" x14ac:dyDescent="0.25">
      <c r="B18" s="23"/>
      <c r="C18" s="20" t="s">
        <v>29</v>
      </c>
      <c r="D18" s="20"/>
      <c r="E18" s="20"/>
      <c r="F18" s="20"/>
      <c r="G18" s="20"/>
      <c r="H18" s="20"/>
      <c r="I18" s="20"/>
      <c r="J18" s="20"/>
      <c r="K18" s="20"/>
      <c r="L18" s="20"/>
      <c r="M18" s="21"/>
    </row>
    <row r="19" spans="2:13" x14ac:dyDescent="0.25">
      <c r="B19" s="23"/>
      <c r="C19" s="20" t="s">
        <v>30</v>
      </c>
      <c r="D19" s="20"/>
      <c r="E19" s="20"/>
      <c r="F19" s="20"/>
      <c r="G19" s="20"/>
      <c r="H19" s="20"/>
      <c r="I19" s="20"/>
      <c r="J19" s="20"/>
      <c r="K19" s="20"/>
      <c r="L19" s="20"/>
      <c r="M19" s="21"/>
    </row>
    <row r="20" spans="2:13" x14ac:dyDescent="0.25">
      <c r="B20" s="23"/>
      <c r="C20" s="26" t="s">
        <v>31</v>
      </c>
      <c r="D20" s="20"/>
      <c r="E20" s="20"/>
      <c r="F20" s="20"/>
      <c r="G20" s="20"/>
      <c r="H20" s="20"/>
      <c r="I20" s="20"/>
      <c r="J20" s="20"/>
      <c r="K20" s="20"/>
      <c r="L20" s="20"/>
      <c r="M20" s="21"/>
    </row>
    <row r="21" spans="2:13" x14ac:dyDescent="0.25">
      <c r="B21" s="23"/>
      <c r="C21" s="26" t="s">
        <v>32</v>
      </c>
      <c r="D21" s="20"/>
      <c r="E21" s="20"/>
      <c r="F21" s="20"/>
      <c r="G21" s="20"/>
      <c r="H21" s="20"/>
      <c r="I21" s="20"/>
      <c r="J21" s="20"/>
      <c r="K21" s="20"/>
      <c r="L21" s="20"/>
      <c r="M21" s="21"/>
    </row>
    <row r="22" spans="2:13" x14ac:dyDescent="0.25">
      <c r="B22" s="23"/>
      <c r="C22" s="26" t="s">
        <v>33</v>
      </c>
      <c r="D22" s="20"/>
      <c r="E22" s="20"/>
      <c r="F22" s="20"/>
      <c r="G22" s="20"/>
      <c r="H22" s="20"/>
      <c r="I22" s="20"/>
      <c r="J22" s="20"/>
      <c r="K22" s="20"/>
      <c r="L22" s="20"/>
      <c r="M22" s="21"/>
    </row>
    <row r="23" spans="2:13" x14ac:dyDescent="0.25">
      <c r="B23" s="23"/>
      <c r="C23" s="26" t="s">
        <v>34</v>
      </c>
      <c r="D23" s="20"/>
      <c r="E23" s="20"/>
      <c r="F23" s="20"/>
      <c r="G23" s="20"/>
      <c r="H23" s="20"/>
      <c r="I23" s="20"/>
      <c r="J23" s="20"/>
      <c r="K23" s="20"/>
      <c r="L23" s="20"/>
      <c r="M23" s="21"/>
    </row>
    <row r="24" spans="2:13" x14ac:dyDescent="0.25">
      <c r="B24" s="23"/>
      <c r="C24" s="26" t="s">
        <v>37</v>
      </c>
      <c r="D24" s="20"/>
      <c r="E24" s="20"/>
      <c r="F24" s="20"/>
      <c r="G24" s="20"/>
      <c r="H24" s="20"/>
      <c r="I24" s="20"/>
      <c r="J24" s="20"/>
      <c r="K24" s="20"/>
      <c r="L24" s="20"/>
      <c r="M24" s="21"/>
    </row>
    <row r="25" spans="2:13" x14ac:dyDescent="0.25">
      <c r="B25" s="23"/>
      <c r="C25" s="26" t="s">
        <v>38</v>
      </c>
      <c r="D25" s="20"/>
      <c r="E25" s="20"/>
      <c r="F25" s="20"/>
      <c r="G25" s="20"/>
      <c r="H25" s="20"/>
      <c r="I25" s="20"/>
      <c r="J25" s="20"/>
      <c r="K25" s="20"/>
      <c r="L25" s="20"/>
      <c r="M25" s="21"/>
    </row>
    <row r="26" spans="2:13" x14ac:dyDescent="0.25">
      <c r="B26" s="23"/>
      <c r="C26" s="26" t="s">
        <v>39</v>
      </c>
      <c r="D26" s="20"/>
      <c r="E26" s="20"/>
      <c r="F26" s="20"/>
      <c r="G26" s="20"/>
      <c r="H26" s="20"/>
      <c r="I26" s="20"/>
      <c r="J26" s="20"/>
      <c r="K26" s="20"/>
      <c r="L26" s="20"/>
      <c r="M26" s="21"/>
    </row>
    <row r="27" spans="2:13" x14ac:dyDescent="0.25">
      <c r="B27" s="23"/>
      <c r="C27" s="28"/>
      <c r="D27" s="20"/>
      <c r="E27" s="20"/>
      <c r="F27" s="20"/>
      <c r="G27" s="20"/>
      <c r="H27" s="20"/>
      <c r="I27" s="20"/>
      <c r="J27" s="20"/>
      <c r="K27" s="20"/>
      <c r="L27" s="20"/>
      <c r="M27" s="21"/>
    </row>
    <row r="28" spans="2:13" ht="15.75" thickBot="1" x14ac:dyDescent="0.3"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1"/>
    </row>
    <row r="29" spans="2:13" x14ac:dyDescent="0.25"/>
    <row r="30" spans="2:13" x14ac:dyDescent="0.25"/>
    <row r="31" spans="2:13" x14ac:dyDescent="0.25"/>
    <row r="32" spans="2:13" x14ac:dyDescent="0.25"/>
  </sheetData>
  <sheetProtection algorithmName="SHA-512" hashValue="bMBXl5QaRnO4beQr58zpevOPLOs9EbulUk9Vgsntrdmdka6xbHdLV0PiY2oSXz1PuInfQFsGynGKuZgVEVaGpQ==" saltValue="4KnvmaCBLWpM4N8gYSp3Gg==" spinCount="100000" sheet="1" objects="1" scenarios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CALCULAR CUOTAS</vt:lpstr>
      <vt:lpstr>TICKLER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Tatiana Garcia Montenegro</dc:creator>
  <cp:keywords>Kelly Tatiana Garcia Montenegro</cp:keywords>
  <cp:lastModifiedBy>michael� stewar castillo saenz</cp:lastModifiedBy>
  <dcterms:created xsi:type="dcterms:W3CDTF">2018-06-06T21:30:02Z</dcterms:created>
  <dcterms:modified xsi:type="dcterms:W3CDTF">2019-08-21T18:10:34Z</dcterms:modified>
</cp:coreProperties>
</file>